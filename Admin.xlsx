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Track Job\Project\excel\"/>
    </mc:Choice>
  </mc:AlternateContent>
  <xr:revisionPtr revIDLastSave="0" documentId="13_ncr:1_{655642F2-C9A3-4BA1-AA13-219976CFBF26}" xr6:coauthVersionLast="47" xr6:coauthVersionMax="47" xr10:uidLastSave="{00000000-0000-0000-0000-000000000000}"/>
  <bookViews>
    <workbookView xWindow="-120" yWindow="-120" windowWidth="20730" windowHeight="11040" activeTab="5" xr2:uid="{53788E45-2F1D-4DDD-B939-E20F40FC6615}"/>
  </bookViews>
  <sheets>
    <sheet name="Perkantoran" sheetId="2" r:id="rId1"/>
    <sheet name="Umum" sheetId="4" r:id="rId2"/>
    <sheet name="Marketing" sheetId="3" r:id="rId3"/>
    <sheet name="Gudang" sheetId="5" r:id="rId4"/>
    <sheet name="Gudang Stok" sheetId="6" r:id="rId5"/>
    <sheet name="Finance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7" l="1"/>
  <c r="E8" i="7"/>
  <c r="F8" i="7" s="1"/>
  <c r="G8" i="7" s="1"/>
  <c r="E7" i="7"/>
  <c r="F7" i="7" s="1"/>
  <c r="E6" i="7"/>
  <c r="E5" i="7"/>
  <c r="F5" i="7" s="1"/>
  <c r="G5" i="7" s="1"/>
  <c r="F4" i="7"/>
  <c r="G4" i="7" s="1"/>
  <c r="E4" i="7"/>
  <c r="E3" i="7"/>
  <c r="F3" i="7" s="1"/>
  <c r="G3" i="7" l="1"/>
  <c r="F6" i="7"/>
  <c r="G6" i="7" s="1"/>
  <c r="G7" i="7"/>
  <c r="F10" i="7" l="1"/>
  <c r="F9" i="7"/>
  <c r="G22" i="6"/>
  <c r="F22" i="6"/>
  <c r="F21" i="6"/>
  <c r="G21" i="6" s="1"/>
  <c r="G20" i="6"/>
  <c r="F20" i="6"/>
  <c r="F19" i="6"/>
  <c r="G19" i="6" s="1"/>
  <c r="G18" i="6"/>
  <c r="F18" i="6"/>
  <c r="F17" i="6"/>
  <c r="G17" i="6" s="1"/>
  <c r="G16" i="6"/>
  <c r="F16" i="6"/>
  <c r="F15" i="6"/>
  <c r="G15" i="6" s="1"/>
  <c r="G14" i="6"/>
  <c r="F14" i="6"/>
  <c r="F13" i="6"/>
  <c r="G13" i="6" s="1"/>
  <c r="G12" i="6"/>
  <c r="F12" i="6"/>
  <c r="F11" i="6"/>
  <c r="G11" i="6" s="1"/>
  <c r="G10" i="6"/>
  <c r="F10" i="6"/>
  <c r="F9" i="6"/>
  <c r="G9" i="6" s="1"/>
  <c r="G8" i="6"/>
  <c r="F8" i="6"/>
  <c r="F7" i="6"/>
  <c r="G7" i="6" s="1"/>
  <c r="G6" i="6"/>
  <c r="F6" i="6"/>
  <c r="F5" i="6"/>
  <c r="G5" i="6" s="1"/>
  <c r="G4" i="6"/>
  <c r="F4" i="6"/>
  <c r="F3" i="6"/>
  <c r="G3" i="6" s="1"/>
  <c r="B36" i="5"/>
  <c r="H31" i="5"/>
  <c r="J31" i="5" s="1"/>
  <c r="H30" i="5"/>
  <c r="J30" i="5" s="1"/>
  <c r="H29" i="5"/>
  <c r="J29" i="5" s="1"/>
  <c r="H28" i="5"/>
  <c r="J28" i="5" s="1"/>
  <c r="H27" i="5"/>
  <c r="J27" i="5" s="1"/>
  <c r="H26" i="5"/>
  <c r="J26" i="5" s="1"/>
  <c r="H25" i="5"/>
  <c r="J25" i="5" s="1"/>
  <c r="H24" i="5"/>
  <c r="J24" i="5" s="1"/>
  <c r="H23" i="5"/>
  <c r="J23" i="5" s="1"/>
  <c r="J22" i="5"/>
  <c r="J21" i="5"/>
  <c r="H21" i="5"/>
  <c r="H20" i="5"/>
  <c r="J20" i="5" s="1"/>
  <c r="J19" i="5"/>
  <c r="H19" i="5"/>
  <c r="H18" i="5"/>
  <c r="J18" i="5" s="1"/>
  <c r="J17" i="5"/>
  <c r="H16" i="5"/>
  <c r="J16" i="5" s="1"/>
  <c r="H15" i="5"/>
  <c r="J15" i="5" s="1"/>
  <c r="H14" i="5"/>
  <c r="J14" i="5" s="1"/>
  <c r="H13" i="5"/>
  <c r="J13" i="5" s="1"/>
  <c r="H12" i="5"/>
  <c r="J12" i="5" s="1"/>
  <c r="J11" i="5"/>
  <c r="J10" i="5"/>
  <c r="H10" i="5"/>
  <c r="H9" i="5"/>
  <c r="J9" i="5" s="1"/>
  <c r="J8" i="5"/>
  <c r="H8" i="5"/>
  <c r="J7" i="5"/>
  <c r="H6" i="5"/>
  <c r="J6" i="5" s="1"/>
  <c r="H5" i="5"/>
  <c r="J5" i="5" s="1"/>
  <c r="H4" i="5"/>
  <c r="J4" i="5" s="1"/>
  <c r="H3" i="5"/>
  <c r="J3" i="5" s="1"/>
  <c r="H2" i="5"/>
  <c r="B35" i="5" s="1"/>
  <c r="B33" i="5" l="1"/>
  <c r="B34" i="5"/>
  <c r="J2" i="5"/>
  <c r="B32" i="5" s="1"/>
  <c r="I26" i="3"/>
  <c r="H26" i="3"/>
  <c r="J26" i="3" s="1"/>
  <c r="G26" i="3"/>
  <c r="F26" i="3"/>
  <c r="H25" i="3"/>
  <c r="J25" i="3" s="1"/>
  <c r="G25" i="3"/>
  <c r="F25" i="3"/>
  <c r="I25" i="3" s="1"/>
  <c r="G24" i="3"/>
  <c r="H24" i="3" s="1"/>
  <c r="J24" i="3" s="1"/>
  <c r="F24" i="3"/>
  <c r="I24" i="3" s="1"/>
  <c r="H23" i="3"/>
  <c r="G23" i="3"/>
  <c r="F23" i="3"/>
  <c r="I23" i="3" s="1"/>
  <c r="J23" i="3" s="1"/>
  <c r="I22" i="3"/>
  <c r="H22" i="3"/>
  <c r="J22" i="3" s="1"/>
  <c r="G22" i="3"/>
  <c r="F22" i="3"/>
  <c r="H21" i="3"/>
  <c r="J21" i="3" s="1"/>
  <c r="G21" i="3"/>
  <c r="F21" i="3"/>
  <c r="I21" i="3" s="1"/>
  <c r="G20" i="3"/>
  <c r="H20" i="3" s="1"/>
  <c r="J20" i="3" s="1"/>
  <c r="F20" i="3"/>
  <c r="I20" i="3" s="1"/>
  <c r="H19" i="3"/>
  <c r="G19" i="3"/>
  <c r="F19" i="3"/>
  <c r="I19" i="3" s="1"/>
  <c r="J19" i="3" s="1"/>
  <c r="I18" i="3"/>
  <c r="H18" i="3"/>
  <c r="J18" i="3" s="1"/>
  <c r="G18" i="3"/>
  <c r="F18" i="3"/>
  <c r="H17" i="3"/>
  <c r="J17" i="3" s="1"/>
  <c r="G17" i="3"/>
  <c r="F17" i="3"/>
  <c r="I17" i="3" s="1"/>
  <c r="G16" i="3"/>
  <c r="H16" i="3" s="1"/>
  <c r="J16" i="3" s="1"/>
  <c r="F16" i="3"/>
  <c r="I16" i="3" s="1"/>
  <c r="H15" i="3"/>
  <c r="G15" i="3"/>
  <c r="F15" i="3"/>
  <c r="I15" i="3" s="1"/>
  <c r="J15" i="3" s="1"/>
  <c r="I14" i="3"/>
  <c r="H14" i="3"/>
  <c r="J14" i="3" s="1"/>
  <c r="G14" i="3"/>
  <c r="F14" i="3"/>
  <c r="I13" i="3"/>
  <c r="H13" i="3"/>
  <c r="J13" i="3" s="1"/>
  <c r="G13" i="3"/>
  <c r="F13" i="3"/>
  <c r="G12" i="3"/>
  <c r="H12" i="3" s="1"/>
  <c r="J12" i="3" s="1"/>
  <c r="F12" i="3"/>
  <c r="I12" i="3" s="1"/>
  <c r="G11" i="3"/>
  <c r="H11" i="3" s="1"/>
  <c r="F11" i="3"/>
  <c r="I11" i="3" s="1"/>
  <c r="I10" i="3"/>
  <c r="H10" i="3"/>
  <c r="J10" i="3" s="1"/>
  <c r="G10" i="3"/>
  <c r="F10" i="3"/>
  <c r="I9" i="3"/>
  <c r="H9" i="3"/>
  <c r="J9" i="3" s="1"/>
  <c r="G9" i="3"/>
  <c r="F9" i="3"/>
  <c r="G8" i="3"/>
  <c r="H8" i="3" s="1"/>
  <c r="J8" i="3" s="1"/>
  <c r="F8" i="3"/>
  <c r="I8" i="3" s="1"/>
  <c r="G7" i="3"/>
  <c r="H7" i="3" s="1"/>
  <c r="F7" i="3"/>
  <c r="I7" i="3" s="1"/>
  <c r="I6" i="3"/>
  <c r="J6" i="3" s="1"/>
  <c r="H6" i="3"/>
  <c r="G6" i="3"/>
  <c r="F6" i="3"/>
  <c r="I5" i="3"/>
  <c r="H5" i="3"/>
  <c r="J5" i="3" s="1"/>
  <c r="G5" i="3"/>
  <c r="F5" i="3"/>
  <c r="G4" i="3"/>
  <c r="H4" i="3" s="1"/>
  <c r="J4" i="3" s="1"/>
  <c r="F4" i="3"/>
  <c r="I4" i="3" s="1"/>
  <c r="G3" i="3"/>
  <c r="H3" i="3" s="1"/>
  <c r="F3" i="3"/>
  <c r="I3" i="3" s="1"/>
  <c r="I2" i="3"/>
  <c r="J2" i="3" s="1"/>
  <c r="H2" i="3"/>
  <c r="G2" i="3"/>
  <c r="F2" i="3"/>
  <c r="D29" i="4"/>
  <c r="M26" i="4"/>
  <c r="D26" i="4"/>
  <c r="J26" i="4" s="1"/>
  <c r="M25" i="4"/>
  <c r="J25" i="4"/>
  <c r="E25" i="4"/>
  <c r="D25" i="4"/>
  <c r="F25" i="4" s="1"/>
  <c r="M24" i="4"/>
  <c r="D24" i="4"/>
  <c r="J24" i="4" s="1"/>
  <c r="M23" i="4"/>
  <c r="D23" i="4"/>
  <c r="I23" i="4" s="1"/>
  <c r="M22" i="4"/>
  <c r="D22" i="4"/>
  <c r="I22" i="4" s="1"/>
  <c r="M21" i="4"/>
  <c r="J21" i="4"/>
  <c r="F21" i="4"/>
  <c r="E21" i="4"/>
  <c r="D21" i="4"/>
  <c r="I21" i="4" s="1"/>
  <c r="K21" i="4" s="1"/>
  <c r="M20" i="4"/>
  <c r="D20" i="4"/>
  <c r="J20" i="4" s="1"/>
  <c r="M19" i="4"/>
  <c r="I19" i="4"/>
  <c r="D19" i="4"/>
  <c r="M18" i="4"/>
  <c r="J18" i="4"/>
  <c r="I18" i="4"/>
  <c r="K18" i="4" s="1"/>
  <c r="E18" i="4"/>
  <c r="D18" i="4"/>
  <c r="M17" i="4"/>
  <c r="J17" i="4"/>
  <c r="E17" i="4"/>
  <c r="F17" i="4" s="1"/>
  <c r="D17" i="4"/>
  <c r="I17" i="4" s="1"/>
  <c r="K17" i="4" s="1"/>
  <c r="M16" i="4"/>
  <c r="D16" i="4"/>
  <c r="J16" i="4" s="1"/>
  <c r="M15" i="4"/>
  <c r="D15" i="4"/>
  <c r="M14" i="4"/>
  <c r="D14" i="4"/>
  <c r="E14" i="4" s="1"/>
  <c r="M13" i="4"/>
  <c r="J13" i="4"/>
  <c r="F13" i="4"/>
  <c r="E13" i="4"/>
  <c r="D13" i="4"/>
  <c r="I13" i="4" s="1"/>
  <c r="K13" i="4" s="1"/>
  <c r="M12" i="4"/>
  <c r="D12" i="4"/>
  <c r="J12" i="4" s="1"/>
  <c r="M11" i="4"/>
  <c r="I11" i="4"/>
  <c r="D11" i="4"/>
  <c r="M10" i="4"/>
  <c r="J10" i="4"/>
  <c r="I10" i="4"/>
  <c r="K10" i="4" s="1"/>
  <c r="D10" i="4"/>
  <c r="M9" i="4"/>
  <c r="J9" i="4"/>
  <c r="E9" i="4"/>
  <c r="F9" i="4" s="1"/>
  <c r="D9" i="4"/>
  <c r="I9" i="4" s="1"/>
  <c r="K9" i="4" s="1"/>
  <c r="M8" i="4"/>
  <c r="D8" i="4"/>
  <c r="J8" i="4" s="1"/>
  <c r="M7" i="4"/>
  <c r="D7" i="4"/>
  <c r="M6" i="4"/>
  <c r="D6" i="4"/>
  <c r="I6" i="4" s="1"/>
  <c r="M5" i="4"/>
  <c r="J5" i="4"/>
  <c r="F5" i="4"/>
  <c r="E5" i="4"/>
  <c r="D5" i="4"/>
  <c r="I5" i="4" s="1"/>
  <c r="K5" i="4" s="1"/>
  <c r="M4" i="4"/>
  <c r="D4" i="4"/>
  <c r="M3" i="4"/>
  <c r="I3" i="4"/>
  <c r="D3" i="4"/>
  <c r="M2" i="4"/>
  <c r="D32" i="4" s="1"/>
  <c r="I2" i="4"/>
  <c r="D2" i="4"/>
  <c r="C29" i="2"/>
  <c r="C28" i="2"/>
  <c r="C2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" i="2"/>
  <c r="L15" i="3" l="1"/>
  <c r="K15" i="3"/>
  <c r="L19" i="3"/>
  <c r="K19" i="3"/>
  <c r="L20" i="3"/>
  <c r="K20" i="3"/>
  <c r="L24" i="3"/>
  <c r="K24" i="3"/>
  <c r="J3" i="3"/>
  <c r="J7" i="3"/>
  <c r="J11" i="3"/>
  <c r="L16" i="3"/>
  <c r="K16" i="3"/>
  <c r="L23" i="3"/>
  <c r="K23" i="3"/>
  <c r="K5" i="3"/>
  <c r="L5" i="3"/>
  <c r="K9" i="3"/>
  <c r="L9" i="3"/>
  <c r="L10" i="3"/>
  <c r="K10" i="3"/>
  <c r="K13" i="3"/>
  <c r="L13" i="3"/>
  <c r="L14" i="3"/>
  <c r="K14" i="3"/>
  <c r="L18" i="3"/>
  <c r="K18" i="3"/>
  <c r="L22" i="3"/>
  <c r="K22" i="3"/>
  <c r="L26" i="3"/>
  <c r="K26" i="3"/>
  <c r="L2" i="3"/>
  <c r="K2" i="3"/>
  <c r="L4" i="3"/>
  <c r="K4" i="3"/>
  <c r="L6" i="3"/>
  <c r="K6" i="3"/>
  <c r="L8" i="3"/>
  <c r="K8" i="3"/>
  <c r="L12" i="3"/>
  <c r="K12" i="3"/>
  <c r="K17" i="3"/>
  <c r="L17" i="3"/>
  <c r="K21" i="3"/>
  <c r="L21" i="3"/>
  <c r="K25" i="3"/>
  <c r="L25" i="3"/>
  <c r="H9" i="4"/>
  <c r="L9" i="4" s="1"/>
  <c r="H17" i="4"/>
  <c r="L17" i="4" s="1"/>
  <c r="K22" i="4"/>
  <c r="H13" i="4"/>
  <c r="L13" i="4" s="1"/>
  <c r="F3" i="4"/>
  <c r="J3" i="4"/>
  <c r="K3" i="4" s="1"/>
  <c r="E6" i="4"/>
  <c r="F7" i="4"/>
  <c r="J7" i="4"/>
  <c r="E7" i="4"/>
  <c r="F15" i="4"/>
  <c r="J15" i="4"/>
  <c r="E15" i="4"/>
  <c r="E22" i="4"/>
  <c r="F22" i="4" s="1"/>
  <c r="K23" i="4"/>
  <c r="H25" i="4"/>
  <c r="L25" i="4" s="1"/>
  <c r="J4" i="4"/>
  <c r="E4" i="4"/>
  <c r="F4" i="4" s="1"/>
  <c r="I4" i="4"/>
  <c r="H5" i="4"/>
  <c r="L5" i="4" s="1"/>
  <c r="F14" i="4"/>
  <c r="H21" i="4"/>
  <c r="L21" i="4" s="1"/>
  <c r="D27" i="4"/>
  <c r="J2" i="4"/>
  <c r="K2" i="4" s="1"/>
  <c r="E3" i="4"/>
  <c r="I14" i="4"/>
  <c r="K14" i="4" s="1"/>
  <c r="F18" i="4"/>
  <c r="F6" i="4"/>
  <c r="E2" i="4"/>
  <c r="F2" i="4" s="1"/>
  <c r="J6" i="4"/>
  <c r="K6" i="4" s="1"/>
  <c r="I7" i="4"/>
  <c r="E10" i="4"/>
  <c r="F10" i="4" s="1"/>
  <c r="F11" i="4"/>
  <c r="J11" i="4"/>
  <c r="K11" i="4" s="1"/>
  <c r="E11" i="4"/>
  <c r="J14" i="4"/>
  <c r="I15" i="4"/>
  <c r="F19" i="4"/>
  <c r="J19" i="4"/>
  <c r="K19" i="4" s="1"/>
  <c r="E19" i="4"/>
  <c r="J22" i="4"/>
  <c r="I8" i="4"/>
  <c r="K8" i="4" s="1"/>
  <c r="I12" i="4"/>
  <c r="K12" i="4" s="1"/>
  <c r="I16" i="4"/>
  <c r="K16" i="4" s="1"/>
  <c r="I20" i="4"/>
  <c r="K20" i="4" s="1"/>
  <c r="E23" i="4"/>
  <c r="F23" i="4" s="1"/>
  <c r="J23" i="4"/>
  <c r="I24" i="4"/>
  <c r="K24" i="4" s="1"/>
  <c r="E8" i="4"/>
  <c r="F8" i="4" s="1"/>
  <c r="E12" i="4"/>
  <c r="F12" i="4" s="1"/>
  <c r="E16" i="4"/>
  <c r="F16" i="4" s="1"/>
  <c r="E20" i="4"/>
  <c r="F20" i="4" s="1"/>
  <c r="E24" i="4"/>
  <c r="F24" i="4" s="1"/>
  <c r="I25" i="4"/>
  <c r="K25" i="4" s="1"/>
  <c r="I26" i="4"/>
  <c r="K26" i="4" s="1"/>
  <c r="E26" i="4"/>
  <c r="F26" i="4" s="1"/>
  <c r="L11" i="3" l="1"/>
  <c r="K11" i="3"/>
  <c r="K7" i="3"/>
  <c r="L7" i="3"/>
  <c r="L3" i="3"/>
  <c r="K3" i="3"/>
  <c r="H23" i="4"/>
  <c r="L23" i="4" s="1"/>
  <c r="H4" i="4"/>
  <c r="L4" i="4"/>
  <c r="H22" i="4"/>
  <c r="L22" i="4" s="1"/>
  <c r="H10" i="4"/>
  <c r="L10" i="4" s="1"/>
  <c r="H24" i="4"/>
  <c r="L24" i="4" s="1"/>
  <c r="H19" i="4"/>
  <c r="L19" i="4" s="1"/>
  <c r="H26" i="4"/>
  <c r="L26" i="4" s="1"/>
  <c r="H8" i="4"/>
  <c r="L8" i="4"/>
  <c r="K15" i="4"/>
  <c r="H11" i="4"/>
  <c r="L11" i="4"/>
  <c r="L2" i="4"/>
  <c r="H2" i="4"/>
  <c r="H15" i="4"/>
  <c r="L15" i="4"/>
  <c r="H7" i="4"/>
  <c r="L7" i="4" s="1"/>
  <c r="H14" i="4"/>
  <c r="L14" i="4" s="1"/>
  <c r="H20" i="4"/>
  <c r="L20" i="4" s="1"/>
  <c r="H12" i="4"/>
  <c r="L12" i="4"/>
  <c r="L18" i="4"/>
  <c r="H18" i="4"/>
  <c r="H3" i="4"/>
  <c r="L3" i="4"/>
  <c r="L16" i="4"/>
  <c r="H16" i="4"/>
  <c r="K7" i="4"/>
  <c r="H6" i="4"/>
  <c r="L6" i="4" s="1"/>
  <c r="K4" i="4"/>
  <c r="D31" i="4" l="1"/>
  <c r="D30" i="4"/>
  <c r="D28" i="4"/>
</calcChain>
</file>

<file path=xl/sharedStrings.xml><?xml version="1.0" encoding="utf-8"?>
<sst xmlns="http://schemas.openxmlformats.org/spreadsheetml/2006/main" count="484" uniqueCount="306">
  <si>
    <t>No</t>
  </si>
  <si>
    <t>Nama Karyawan</t>
  </si>
  <si>
    <t>Jabatan</t>
  </si>
  <si>
    <t>Gaji Pokok</t>
  </si>
  <si>
    <t>Tunjangan</t>
  </si>
  <si>
    <t>Potongan</t>
  </si>
  <si>
    <t>Total Gaji</t>
  </si>
  <si>
    <t>Kehadiran (%)</t>
  </si>
  <si>
    <t>Bonus</t>
  </si>
  <si>
    <t>Gaji Diterima</t>
  </si>
  <si>
    <t>Status Kinerja</t>
  </si>
  <si>
    <t>Ahmad Rifai</t>
  </si>
  <si>
    <t>Admin Keuangan</t>
  </si>
  <si>
    <t>Rani Putri</t>
  </si>
  <si>
    <t>Admin Gudang</t>
  </si>
  <si>
    <t>Budi Santoso</t>
  </si>
  <si>
    <t>Admin Umum</t>
  </si>
  <si>
    <t>Nia Rahma</t>
  </si>
  <si>
    <t>Admin HRD</t>
  </si>
  <si>
    <t>Dedi Firmansyah</t>
  </si>
  <si>
    <t>Admin Pajak</t>
  </si>
  <si>
    <t>Sinta Dewi</t>
  </si>
  <si>
    <t>Admin Produksi</t>
  </si>
  <si>
    <t>Yudi Pratama</t>
  </si>
  <si>
    <t>Admin Pembelian</t>
  </si>
  <si>
    <t>Rika Amelia</t>
  </si>
  <si>
    <t>Admin Penjualan</t>
  </si>
  <si>
    <t>Wawan Hidayat</t>
  </si>
  <si>
    <t>Admin Logistik</t>
  </si>
  <si>
    <t>Desi Handayani</t>
  </si>
  <si>
    <t>Reza Maulana</t>
  </si>
  <si>
    <t>Rosi Utami</t>
  </si>
  <si>
    <t>Andi Wijaya</t>
  </si>
  <si>
    <t>Fira Lestari</t>
  </si>
  <si>
    <t>Tono Saputra</t>
  </si>
  <si>
    <t>Lusi Kurnia</t>
  </si>
  <si>
    <t>Rangga Dwi</t>
  </si>
  <si>
    <t>Mega Fitri</t>
  </si>
  <si>
    <t>Irfan Arif</t>
  </si>
  <si>
    <t>Citra Anggraini</t>
  </si>
  <si>
    <t>Riko Pradana</t>
  </si>
  <si>
    <t>Dewi Ayu</t>
  </si>
  <si>
    <t>Gita Mulyani</t>
  </si>
  <si>
    <t>Rendi Saputra</t>
  </si>
  <si>
    <t>Lina Marlina</t>
  </si>
  <si>
    <t>Rata-rata Gaji Pokok</t>
  </si>
  <si>
    <t>Total Gaji Diterima</t>
  </si>
  <si>
    <t>Jumlah Bonus</t>
  </si>
  <si>
    <t xml:space="preserve">Total Gaji </t>
  </si>
  <si>
    <t>Total Gaji + Tunjangan</t>
  </si>
  <si>
    <r>
      <t xml:space="preserve">Jika </t>
    </r>
    <r>
      <rPr>
        <b/>
        <sz val="11"/>
        <color theme="1"/>
        <rFont val="Calibri"/>
        <family val="2"/>
        <scheme val="minor"/>
      </rPr>
      <t>≥ 95</t>
    </r>
    <r>
      <rPr>
        <sz val="11"/>
        <color theme="1"/>
        <rFont val="Calibri"/>
        <family val="2"/>
        <scheme val="minor"/>
      </rPr>
      <t xml:space="preserve">, tampilkan teks </t>
    </r>
    <r>
      <rPr>
        <b/>
        <sz val="11"/>
        <color theme="1"/>
        <rFont val="Calibri"/>
        <family val="2"/>
        <scheme val="minor"/>
      </rPr>
      <t>"Sangat Baik"</t>
    </r>
    <r>
      <rPr>
        <sz val="11"/>
        <color theme="1"/>
        <rFont val="Calibri"/>
        <family val="2"/>
        <scheme val="minor"/>
      </rPr>
      <t>.</t>
    </r>
  </si>
  <si>
    <r>
      <t xml:space="preserve">Jika </t>
    </r>
    <r>
      <rPr>
        <b/>
        <sz val="11"/>
        <color theme="1"/>
        <rFont val="Calibri"/>
        <family val="2"/>
        <scheme val="minor"/>
      </rPr>
      <t>tidak</t>
    </r>
    <r>
      <rPr>
        <sz val="11"/>
        <color theme="1"/>
        <rFont val="Calibri"/>
        <family val="2"/>
        <scheme val="minor"/>
      </rPr>
      <t xml:space="preserve">, tapi </t>
    </r>
    <r>
      <rPr>
        <b/>
        <sz val="11"/>
        <color theme="1"/>
        <rFont val="Calibri"/>
        <family val="2"/>
        <scheme val="minor"/>
      </rPr>
      <t>≥ 90</t>
    </r>
    <r>
      <rPr>
        <sz val="11"/>
        <color theme="1"/>
        <rFont val="Calibri"/>
        <family val="2"/>
        <scheme val="minor"/>
      </rPr>
      <t xml:space="preserve">, tampilkan </t>
    </r>
    <r>
      <rPr>
        <b/>
        <sz val="11"/>
        <color theme="1"/>
        <rFont val="Calibri"/>
        <family val="2"/>
        <scheme val="minor"/>
      </rPr>
      <t>"Baik"</t>
    </r>
    <r>
      <rPr>
        <sz val="11"/>
        <color theme="1"/>
        <rFont val="Calibri"/>
        <family val="2"/>
        <scheme val="minor"/>
      </rPr>
      <t>.</t>
    </r>
  </si>
  <si>
    <r>
      <t xml:space="preserve">Jika </t>
    </r>
    <r>
      <rPr>
        <b/>
        <sz val="11"/>
        <color theme="1"/>
        <rFont val="Calibri"/>
        <family val="2"/>
        <scheme val="minor"/>
      </rPr>
      <t>tidak</t>
    </r>
    <r>
      <rPr>
        <sz val="11"/>
        <color theme="1"/>
        <rFont val="Calibri"/>
        <family val="2"/>
        <scheme val="minor"/>
      </rPr>
      <t xml:space="preserve">, tapi </t>
    </r>
    <r>
      <rPr>
        <b/>
        <sz val="11"/>
        <color theme="1"/>
        <rFont val="Calibri"/>
        <family val="2"/>
        <scheme val="minor"/>
      </rPr>
      <t>≥ 80</t>
    </r>
    <r>
      <rPr>
        <sz val="11"/>
        <color theme="1"/>
        <rFont val="Calibri"/>
        <family val="2"/>
        <scheme val="minor"/>
      </rPr>
      <t xml:space="preserve">, tampilkan </t>
    </r>
    <r>
      <rPr>
        <b/>
        <sz val="11"/>
        <color theme="1"/>
        <rFont val="Calibri"/>
        <family val="2"/>
        <scheme val="minor"/>
      </rPr>
      <t>"Cukup"</t>
    </r>
    <r>
      <rPr>
        <sz val="11"/>
        <color theme="1"/>
        <rFont val="Calibri"/>
        <family val="2"/>
        <scheme val="minor"/>
      </rPr>
      <t>.</t>
    </r>
  </si>
  <si>
    <r>
      <t xml:space="preserve">Jika semuanya tidak terpenuhi (berarti &lt;80), tampilkan </t>
    </r>
    <r>
      <rPr>
        <b/>
        <sz val="11"/>
        <color theme="1"/>
        <rFont val="Calibri"/>
        <family val="2"/>
        <scheme val="minor"/>
      </rPr>
      <t>"Kurang"</t>
    </r>
    <r>
      <rPr>
        <sz val="11"/>
        <color theme="1"/>
        <rFont val="Calibri"/>
        <family val="2"/>
        <scheme val="minor"/>
      </rPr>
      <t>.</t>
    </r>
  </si>
  <si>
    <t>Status Kehadiran</t>
  </si>
  <si>
    <r>
      <t>Jika kehadiran</t>
    </r>
    <r>
      <rPr>
        <b/>
        <sz val="11"/>
        <color theme="1"/>
        <rFont val="Calibri"/>
        <family val="2"/>
        <scheme val="minor"/>
      </rPr>
      <t xml:space="preserve"> ≥ 95</t>
    </r>
    <r>
      <rPr>
        <sz val="11"/>
        <color theme="1"/>
        <rFont val="Calibri"/>
        <family val="2"/>
        <scheme val="minor"/>
      </rPr>
      <t>, maka ambil 10% dari total gaji</t>
    </r>
  </si>
  <si>
    <r>
      <t xml:space="preserve">Jika </t>
    </r>
    <r>
      <rPr>
        <b/>
        <sz val="11"/>
        <color theme="1"/>
        <rFont val="Calibri"/>
        <family val="2"/>
        <scheme val="minor"/>
      </rPr>
      <t>tidak</t>
    </r>
    <r>
      <rPr>
        <sz val="11"/>
        <color theme="1"/>
        <rFont val="Calibri"/>
        <family val="2"/>
        <scheme val="minor"/>
      </rPr>
      <t>, tapi kehadiran</t>
    </r>
    <r>
      <rPr>
        <b/>
        <sz val="11"/>
        <color theme="1"/>
        <rFont val="Calibri"/>
        <family val="2"/>
        <scheme val="minor"/>
      </rPr>
      <t xml:space="preserve"> ≥ 90</t>
    </r>
    <r>
      <rPr>
        <sz val="11"/>
        <color theme="1"/>
        <rFont val="Calibri"/>
        <family val="2"/>
        <scheme val="minor"/>
      </rPr>
      <t>, maka ambil 5% dari total gaji</t>
    </r>
  </si>
  <si>
    <t>Jika keduanya tidak memenuhi, maka ambil 2% dari total gaji</t>
  </si>
  <si>
    <t>Total Gaji + Bonus -Potongan</t>
  </si>
  <si>
    <t>Potongan BPJS</t>
  </si>
  <si>
    <t>Potongan Pajak</t>
  </si>
  <si>
    <t>Total Potongan</t>
  </si>
  <si>
    <t>Total Semua Gaji Pokok</t>
  </si>
  <si>
    <t>Total Semua Bonus</t>
  </si>
  <si>
    <t>Rata-rata Kehadiran</t>
  </si>
  <si>
    <t>Gaji Tertinggi</t>
  </si>
  <si>
    <t>Gaji Terendah</t>
  </si>
  <si>
    <t>Jumlah Karyawan dengan Status “Sangat Baik”</t>
  </si>
  <si>
    <t>Menjumlahkan gaji pokok dan tunjangan</t>
  </si>
  <si>
    <t>TABEL REFERENSI</t>
  </si>
  <si>
    <r>
      <rPr>
        <sz val="11"/>
        <color theme="1"/>
        <rFont val="Calibri"/>
      </rPr>
      <t xml:space="preserve">Menghitung bonus berdasarkan </t>
    </r>
    <r>
      <rPr>
        <b/>
        <sz val="11"/>
        <color theme="1"/>
        <rFont val="Calibri"/>
      </rPr>
      <t>kehadiran</t>
    </r>
    <r>
      <rPr>
        <sz val="11"/>
        <color theme="1"/>
        <rFont val="Calibri"/>
      </rPr>
      <t>: ≥95% = 10%, ≥90% = 5%, lainnya 2%</t>
    </r>
  </si>
  <si>
    <t>Persentase Tunjangan</t>
  </si>
  <si>
    <t>Potongan BPJS (%)</t>
  </si>
  <si>
    <t>Potongan Pajak (%)</t>
  </si>
  <si>
    <r>
      <rPr>
        <sz val="11"/>
        <color theme="1"/>
        <rFont val="Calibri"/>
      </rPr>
      <t xml:space="preserve">Mengambil </t>
    </r>
    <r>
      <rPr>
        <b/>
        <sz val="11"/>
        <color theme="1"/>
        <rFont val="Calibri"/>
      </rPr>
      <t>persentase tunjangan</t>
    </r>
    <r>
      <rPr>
        <sz val="11"/>
        <color theme="1"/>
        <rFont val="Calibri"/>
      </rPr>
      <t xml:space="preserve"> berdasarkan jabatan di tabel referensi Sheet2, lalu dikalikan gaji pokok</t>
    </r>
  </si>
  <si>
    <t>Mengambil persentase potongan BPJS dari tabel referensi sheet2 lalu dikalikan gaji pokok</t>
  </si>
  <si>
    <t>Mengambil persentase pajak berdasarkan jabatandari tabel referensi sheet2 lalu dikalikan gaji pokok</t>
  </si>
  <si>
    <t>Menjumlahkan total potongan (BPJS + Pajak)</t>
  </si>
  <si>
    <t>Menghitung gaji bersih yang diterima</t>
  </si>
  <si>
    <t>Memberi kategori kinerja berdasarkan kehadiran</t>
  </si>
  <si>
    <t>Tanggal</t>
  </si>
  <si>
    <t>Nama_Sales</t>
  </si>
  <si>
    <t>Kode_Produk</t>
  </si>
  <si>
    <t>Jumlah_Terjual</t>
  </si>
  <si>
    <t>Nama_Produk</t>
  </si>
  <si>
    <t>Harga_Satuan</t>
  </si>
  <si>
    <t>Total_Penjualan</t>
  </si>
  <si>
    <t>Target_Penjualan</t>
  </si>
  <si>
    <t>Pencapaian(%)</t>
  </si>
  <si>
    <t>Status_Kinerja</t>
  </si>
  <si>
    <t>Ani Lestari</t>
  </si>
  <si>
    <t>P001</t>
  </si>
  <si>
    <t>Budi Rahman</t>
  </si>
  <si>
    <t>P003</t>
  </si>
  <si>
    <t>Laptop X1</t>
  </si>
  <si>
    <t>Citra Wulandari</t>
  </si>
  <si>
    <t>P002</t>
  </si>
  <si>
    <t>Printer Z3</t>
  </si>
  <si>
    <t>Dedi Santoso</t>
  </si>
  <si>
    <t>P004</t>
  </si>
  <si>
    <t>Mouse MX</t>
  </si>
  <si>
    <t>Eka Nuraini</t>
  </si>
  <si>
    <t>P005</t>
  </si>
  <si>
    <t>Keyboard K5</t>
  </si>
  <si>
    <t>Fajar Pratama</t>
  </si>
  <si>
    <t>P006</t>
  </si>
  <si>
    <t>Monitor 24"</t>
  </si>
  <si>
    <t>Gina Rahmawati</t>
  </si>
  <si>
    <t>P007</t>
  </si>
  <si>
    <t>Flashdisk 64GB</t>
  </si>
  <si>
    <t>Hendri Saputra</t>
  </si>
  <si>
    <t>P008</t>
  </si>
  <si>
    <t>Headset HD9</t>
  </si>
  <si>
    <t>Intan Kusuma</t>
  </si>
  <si>
    <t>P009</t>
  </si>
  <si>
    <t>Proyektor Luma</t>
  </si>
  <si>
    <t>Joko Purnomo</t>
  </si>
  <si>
    <t>P010</t>
  </si>
  <si>
    <t>Router AX3000</t>
  </si>
  <si>
    <t>Karina Dewi</t>
  </si>
  <si>
    <t>Speaker SP5</t>
  </si>
  <si>
    <t>Lukman Hakim</t>
  </si>
  <si>
    <t>Maya Rachmawati</t>
  </si>
  <si>
    <t>Novi Andriani</t>
  </si>
  <si>
    <t>Okta Syahputra</t>
  </si>
  <si>
    <t>Putri Amelia</t>
  </si>
  <si>
    <t>Rian Aditya</t>
  </si>
  <si>
    <t>Salsa Rahmadani</t>
  </si>
  <si>
    <t>Taufik Hidayat</t>
  </si>
  <si>
    <t>Utari Lestari</t>
  </si>
  <si>
    <t>Vina Maharani</t>
  </si>
  <si>
    <t>Wahyu Ramadhan</t>
  </si>
  <si>
    <t>Yani Pratiwi</t>
  </si>
  <si>
    <t>Zulfan Hadi</t>
  </si>
  <si>
    <t>Rosita Sari</t>
  </si>
  <si>
    <t>Nama Produk</t>
  </si>
  <si>
    <t>Mencari nama produk berdasarkan kode produk di tabel referensi sheet2</t>
  </si>
  <si>
    <t>Harga Satuan</t>
  </si>
  <si>
    <t>Mengambil harga satuan produk dari tabel referensi.</t>
  </si>
  <si>
    <t>Total Penjualan</t>
  </si>
  <si>
    <t>Mengalikan jumlah terjual dengan harga satuan untuk mendapat total penjualan per transaksi.</t>
  </si>
  <si>
    <t>Target Penjualan</t>
  </si>
  <si>
    <t>Target penjualan bisa disesuaikan per produk (contoh di sini manual).</t>
  </si>
  <si>
    <t>Menghitung persentase pencapaian target penjualan.</t>
  </si>
  <si>
    <r>
      <t xml:space="preserve">Jika </t>
    </r>
    <r>
      <rPr>
        <b/>
        <sz val="11"/>
        <color rgb="FF000000"/>
        <rFont val="Calibri"/>
        <family val="2"/>
        <scheme val="minor"/>
      </rPr>
      <t>pencapaian target ≥ 100%</t>
    </r>
    <r>
      <rPr>
        <sz val="11"/>
        <color rgb="FF000000"/>
        <rFont val="Calibri"/>
        <family val="2"/>
        <scheme val="minor"/>
      </rPr>
      <t xml:space="preserve">, maka </t>
    </r>
    <r>
      <rPr>
        <b/>
        <sz val="11"/>
        <color rgb="FF000000"/>
        <rFont val="Calibri"/>
        <family val="2"/>
        <scheme val="minor"/>
      </rPr>
      <t>bonus = 10% dari total penjualan (I2</t>
    </r>
  </si>
  <si>
    <r>
      <t xml:space="preserve">Jika </t>
    </r>
    <r>
      <rPr>
        <b/>
        <sz val="11"/>
        <color rgb="FF000000"/>
        <rFont val="Calibri"/>
        <family val="2"/>
        <scheme val="minor"/>
      </rPr>
      <t>pencapaian target ≥ 90% dan &lt;100%</t>
    </r>
    <r>
      <rPr>
        <sz val="11"/>
        <color rgb="FF000000"/>
        <rFont val="Calibri"/>
        <family val="2"/>
        <scheme val="minor"/>
      </rPr>
      <t xml:space="preserve">, maka </t>
    </r>
    <r>
      <rPr>
        <b/>
        <sz val="11"/>
        <color rgb="FF000000"/>
        <rFont val="Calibri"/>
        <family val="2"/>
        <scheme val="minor"/>
      </rPr>
      <t>bonus = 5% dari total penjualan</t>
    </r>
  </si>
  <si>
    <r>
      <t xml:space="preserve">Jika </t>
    </r>
    <r>
      <rPr>
        <b/>
        <sz val="11"/>
        <color rgb="FF000000"/>
        <rFont val="Calibri"/>
        <family val="2"/>
        <scheme val="minor"/>
      </rPr>
      <t>pencapaian target &lt; 90%</t>
    </r>
    <r>
      <rPr>
        <sz val="11"/>
        <color rgb="FF000000"/>
        <rFont val="Calibri"/>
        <family val="2"/>
        <scheme val="minor"/>
      </rPr>
      <t xml:space="preserve">, maka </t>
    </r>
    <r>
      <rPr>
        <b/>
        <sz val="11"/>
        <color rgb="FF000000"/>
        <rFont val="Calibri"/>
        <family val="2"/>
        <scheme val="minor"/>
      </rPr>
      <t>bonus = 0</t>
    </r>
  </si>
  <si>
    <t>Status Kinerja:</t>
  </si>
  <si>
    <r>
      <t xml:space="preserve">Jika </t>
    </r>
    <r>
      <rPr>
        <b/>
        <sz val="11"/>
        <color rgb="FF000000"/>
        <rFont val="Calibri"/>
        <family val="2"/>
        <scheme val="minor"/>
      </rPr>
      <t>pencapaian target (J2) ≥ 100%</t>
    </r>
    <r>
      <rPr>
        <sz val="11"/>
        <color rgb="FF000000"/>
        <rFont val="Calibri"/>
        <family val="2"/>
        <scheme val="minor"/>
      </rPr>
      <t xml:space="preserve">, maka </t>
    </r>
    <r>
      <rPr>
        <b/>
        <sz val="11"/>
        <color rgb="FF000000"/>
        <rFont val="Calibri"/>
        <family val="2"/>
        <scheme val="minor"/>
      </rPr>
      <t>Status Kinerja = “Sangat Baik”</t>
    </r>
  </si>
  <si>
    <r>
      <t xml:space="preserve">Jika </t>
    </r>
    <r>
      <rPr>
        <b/>
        <sz val="11"/>
        <color rgb="FF000000"/>
        <rFont val="Calibri"/>
        <family val="2"/>
        <scheme val="minor"/>
      </rPr>
      <t>pencapaian target (J2) ≥ 90%</t>
    </r>
    <r>
      <rPr>
        <sz val="11"/>
        <color rgb="FF000000"/>
        <rFont val="Calibri"/>
        <family val="2"/>
        <scheme val="minor"/>
      </rPr>
      <t xml:space="preserve">, maka </t>
    </r>
    <r>
      <rPr>
        <b/>
        <sz val="11"/>
        <color rgb="FF000000"/>
        <rFont val="Calibri"/>
        <family val="2"/>
        <scheme val="minor"/>
      </rPr>
      <t>Status Kinerja = “Baik”</t>
    </r>
  </si>
  <si>
    <r>
      <t xml:space="preserve">Jika </t>
    </r>
    <r>
      <rPr>
        <b/>
        <sz val="11"/>
        <color rgb="FF000000"/>
        <rFont val="Calibri"/>
        <family val="2"/>
        <scheme val="minor"/>
      </rPr>
      <t>pencapaian target (J2) ≥ 80%</t>
    </r>
    <r>
      <rPr>
        <sz val="11"/>
        <color rgb="FF000000"/>
        <rFont val="Calibri"/>
        <family val="2"/>
        <scheme val="minor"/>
      </rPr>
      <t xml:space="preserve">, maka </t>
    </r>
    <r>
      <rPr>
        <b/>
        <sz val="11"/>
        <color rgb="FF000000"/>
        <rFont val="Calibri"/>
        <family val="2"/>
        <scheme val="minor"/>
      </rPr>
      <t>Status Kinerja = “Cukup”</t>
    </r>
  </si>
  <si>
    <r>
      <t xml:space="preserve">Jika </t>
    </r>
    <r>
      <rPr>
        <b/>
        <sz val="11"/>
        <color rgb="FF000000"/>
        <rFont val="Calibri"/>
        <family val="2"/>
        <scheme val="minor"/>
      </rPr>
      <t>pencapaian target (J2) &lt; 80%</t>
    </r>
    <r>
      <rPr>
        <sz val="11"/>
        <color rgb="FF000000"/>
        <rFont val="Calibri"/>
        <family val="2"/>
        <scheme val="minor"/>
      </rPr>
      <t xml:space="preserve">, maka </t>
    </r>
    <r>
      <rPr>
        <b/>
        <sz val="11"/>
        <color rgb="FF000000"/>
        <rFont val="Calibri"/>
        <family val="2"/>
        <scheme val="minor"/>
      </rPr>
      <t>Status Kinerja = “Perlu Ditingkatkan”</t>
    </r>
  </si>
  <si>
    <t>ID Barang</t>
  </si>
  <si>
    <t>Nama Barang</t>
  </si>
  <si>
    <t>Kategori</t>
  </si>
  <si>
    <t>Satuan</t>
  </si>
  <si>
    <t>Stok Awal</t>
  </si>
  <si>
    <t>Barang Masuk</t>
  </si>
  <si>
    <t>Barang Keluar</t>
  </si>
  <si>
    <t>Stok Akhir</t>
  </si>
  <si>
    <t>Total Nilai Persediaan</t>
  </si>
  <si>
    <t>B001</t>
  </si>
  <si>
    <t>Beras Premium</t>
  </si>
  <si>
    <t>Sembako</t>
  </si>
  <si>
    <t>Kg</t>
  </si>
  <si>
    <t>B002</t>
  </si>
  <si>
    <t>Minyak Goreng</t>
  </si>
  <si>
    <t>Liter</t>
  </si>
  <si>
    <t>B003</t>
  </si>
  <si>
    <t>Gula Pasir</t>
  </si>
  <si>
    <t>B004</t>
  </si>
  <si>
    <t>Tepung Terigu</t>
  </si>
  <si>
    <t>B005</t>
  </si>
  <si>
    <t>Kopi Bubuk</t>
  </si>
  <si>
    <t>Minuman</t>
  </si>
  <si>
    <t>Pack</t>
  </si>
  <si>
    <t>B006</t>
  </si>
  <si>
    <t>Teh Celup</t>
  </si>
  <si>
    <t>Box</t>
  </si>
  <si>
    <t>B007</t>
  </si>
  <si>
    <t>Air Mineral 600ml</t>
  </si>
  <si>
    <t>Botol</t>
  </si>
  <si>
    <t>B008</t>
  </si>
  <si>
    <t>Sabun Mandi</t>
  </si>
  <si>
    <t>Kebersihan</t>
  </si>
  <si>
    <t>Pcs</t>
  </si>
  <si>
    <t>B009</t>
  </si>
  <si>
    <t>Sampo Botol</t>
  </si>
  <si>
    <t>B010</t>
  </si>
  <si>
    <t>Pasta Gigi</t>
  </si>
  <si>
    <t>Tube</t>
  </si>
  <si>
    <t>B011</t>
  </si>
  <si>
    <t>Deterjen Bubuk</t>
  </si>
  <si>
    <t>B012</t>
  </si>
  <si>
    <t>Pewangi Pakaian</t>
  </si>
  <si>
    <t>B013</t>
  </si>
  <si>
    <t>Mie Instan</t>
  </si>
  <si>
    <t>Dus</t>
  </si>
  <si>
    <t>B014</t>
  </si>
  <si>
    <t>Susu Bubuk</t>
  </si>
  <si>
    <t>B015</t>
  </si>
  <si>
    <t>Keju Olahan</t>
  </si>
  <si>
    <t>Makanan</t>
  </si>
  <si>
    <t>B016</t>
  </si>
  <si>
    <t>Roti Tawar</t>
  </si>
  <si>
    <t>B017</t>
  </si>
  <si>
    <t>Saus Tomat</t>
  </si>
  <si>
    <t>B018</t>
  </si>
  <si>
    <t>Kecap Manis</t>
  </si>
  <si>
    <t>B019</t>
  </si>
  <si>
    <t>Biskuit Kaleng</t>
  </si>
  <si>
    <t>Kaleng</t>
  </si>
  <si>
    <t>B020</t>
  </si>
  <si>
    <t>Permen</t>
  </si>
  <si>
    <t>B021</t>
  </si>
  <si>
    <t>Tissue Wajah</t>
  </si>
  <si>
    <t>B022</t>
  </si>
  <si>
    <t>Tissue Gulung</t>
  </si>
  <si>
    <t>Roll</t>
  </si>
  <si>
    <t>B023</t>
  </si>
  <si>
    <t>Pembersih Lantai</t>
  </si>
  <si>
    <t>B024</t>
  </si>
  <si>
    <t>Obat Nyamuk</t>
  </si>
  <si>
    <t>B025</t>
  </si>
  <si>
    <t>Coklat Batangan</t>
  </si>
  <si>
    <t>B026</t>
  </si>
  <si>
    <t>Keripik Kentang</t>
  </si>
  <si>
    <t>B027</t>
  </si>
  <si>
    <t>Kacang Atom</t>
  </si>
  <si>
    <t>B028</t>
  </si>
  <si>
    <t>Susu Cair Kotak</t>
  </si>
  <si>
    <t>Kotak</t>
  </si>
  <si>
    <t>B029</t>
  </si>
  <si>
    <t>Energi Drink</t>
  </si>
  <si>
    <t>B030</t>
  </si>
  <si>
    <t>Vitamin C</t>
  </si>
  <si>
    <t>Kesehatan</t>
  </si>
  <si>
    <t>Total Persediaan</t>
  </si>
  <si>
    <t>Stok Akhir Terbanyak</t>
  </si>
  <si>
    <t>Stok Akhir Sedikit</t>
  </si>
  <si>
    <t>Nama Barang dengan stok terbanyak</t>
  </si>
  <si>
    <t>Banyak Baris dengan Kategori Makanan</t>
  </si>
  <si>
    <t>stok &lt; 50 merah</t>
  </si>
  <si>
    <t>STOK BARANG CV.MAKMUR PERKASA 2025</t>
  </si>
  <si>
    <t>Kode Produk</t>
  </si>
  <si>
    <t>Produk Masuk</t>
  </si>
  <si>
    <t>Produk Keluar</t>
  </si>
  <si>
    <t>Status Stok</t>
  </si>
  <si>
    <t>PRD001</t>
  </si>
  <si>
    <t>Bolpoin Biru</t>
  </si>
  <si>
    <t>PRD002</t>
  </si>
  <si>
    <t>Kertas A4</t>
  </si>
  <si>
    <t>PRD003</t>
  </si>
  <si>
    <t>Spidol Hitam</t>
  </si>
  <si>
    <t>PRD004</t>
  </si>
  <si>
    <t>Tinta Printer</t>
  </si>
  <si>
    <t>PRD005</t>
  </si>
  <si>
    <t>Map Plastik</t>
  </si>
  <si>
    <t>PRD006</t>
  </si>
  <si>
    <t>Stapler</t>
  </si>
  <si>
    <t>PRD007</t>
  </si>
  <si>
    <t>Lakban Coklat</t>
  </si>
  <si>
    <t>PRD008</t>
  </si>
  <si>
    <t>Karton Box</t>
  </si>
  <si>
    <t>PRD009</t>
  </si>
  <si>
    <t>Amplop Coklat</t>
  </si>
  <si>
    <t>PRD010</t>
  </si>
  <si>
    <t>Kalkulator</t>
  </si>
  <si>
    <t>PRD011</t>
  </si>
  <si>
    <t>Buku Catatan</t>
  </si>
  <si>
    <t>PRD012</t>
  </si>
  <si>
    <t>Lem Kertas</t>
  </si>
  <si>
    <t>PRD013</t>
  </si>
  <si>
    <t>Papan Tulis</t>
  </si>
  <si>
    <t>PRD014</t>
  </si>
  <si>
    <t>Penggaris Besi</t>
  </si>
  <si>
    <t>PRD015</t>
  </si>
  <si>
    <t>Cutter</t>
  </si>
  <si>
    <t>PRD016</t>
  </si>
  <si>
    <t>Masking Tape</t>
  </si>
  <si>
    <t>PRD017</t>
  </si>
  <si>
    <t>Kertas HVS</t>
  </si>
  <si>
    <t>PRD018</t>
  </si>
  <si>
    <t>Label Sticker</t>
  </si>
  <si>
    <t>PRD019</t>
  </si>
  <si>
    <t>Flashdisk 16GB</t>
  </si>
  <si>
    <t>PRD020</t>
  </si>
  <si>
    <t>Tinta Warna</t>
  </si>
  <si>
    <t>LAPORAN PENJUALAN &amp; DISKON MEMBER</t>
  </si>
  <si>
    <t>Nama Customer</t>
  </si>
  <si>
    <t>Status Member</t>
  </si>
  <si>
    <t>Total Belanja</t>
  </si>
  <si>
    <t>Diskon (10%)</t>
  </si>
  <si>
    <t>Pajak (11%)</t>
  </si>
  <si>
    <t>Total Bayar</t>
  </si>
  <si>
    <t>Toko Berkah</t>
  </si>
  <si>
    <t>Member</t>
  </si>
  <si>
    <t>CV. Maju</t>
  </si>
  <si>
    <t>Non-Member</t>
  </si>
  <si>
    <t>PT. Selalu Ada</t>
  </si>
  <si>
    <t>Ibu Rina</t>
  </si>
  <si>
    <t>Toko Laris</t>
  </si>
  <si>
    <t>Bapak Budi</t>
  </si>
  <si>
    <t>Total Pendapatan</t>
  </si>
  <si>
    <t>Rata-rata Diskon</t>
  </si>
  <si>
    <t>Belanja Terbesar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</si>
</sst>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_-&quot;Rp&quot;* #,##0_-;\-&quot;Rp&quot;* #,##0_-;_-&quot;Rp&quot;* &quot;-&quot;_-;_-@_-"/>
    <numFmt numFmtId="165" formatCode="_-[$Rp-3809]* #,##0.00_-;\-[$Rp-3809]* #,##0.00_-;_-[$Rp-3809]* &quot;-&quot;??_-;_-@_-"/>
    <numFmt numFmtId="167" formatCode="_-[$Rp-3809]* #,##0_-;\-[$Rp-3809]* #,##0_-;_-[$Rp-3809]* &quot;-&quot;??_-;_-@_-"/>
    <numFmt numFmtId="168" formatCode="_-&quot;Rp&quot;* #,##0_-;\-&quot;Rp&quot;* #,##0_-;_-&quot;Rp&quot;* &quot;-&quot;_-;_-@"/>
    <numFmt numFmtId="173" formatCode="_-[$Rp-421]* #,##0.00_-;\-[$Rp-421]* #,##0.00_-;_-[$Rp-421]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 applyAlignment="1">
      <alignment vertical="center" wrapText="1"/>
    </xf>
    <xf numFmtId="165" fontId="0" fillId="0" borderId="0" xfId="0" applyNumberFormat="1"/>
    <xf numFmtId="164" fontId="0" fillId="0" borderId="1" xfId="1" applyFont="1" applyBorder="1" applyAlignment="1">
      <alignment vertical="center" wrapText="1"/>
    </xf>
    <xf numFmtId="164" fontId="0" fillId="0" borderId="0" xfId="1" applyFo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/>
    <xf numFmtId="164" fontId="0" fillId="0" borderId="1" xfId="0" applyNumberFormat="1" applyBorder="1"/>
    <xf numFmtId="165" fontId="0" fillId="2" borderId="0" xfId="0" applyNumberFormat="1" applyFill="1"/>
    <xf numFmtId="164" fontId="0" fillId="2" borderId="0" xfId="1" applyFont="1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165" fontId="0" fillId="4" borderId="0" xfId="0" applyNumberFormat="1" applyFill="1"/>
    <xf numFmtId="0" fontId="0" fillId="4" borderId="0" xfId="0" applyFill="1" applyAlignment="1">
      <alignment horizontal="left" vertical="center" indent="1"/>
    </xf>
    <xf numFmtId="0" fontId="0" fillId="5" borderId="0" xfId="0" applyFill="1"/>
    <xf numFmtId="165" fontId="0" fillId="5" borderId="0" xfId="0" applyNumberFormat="1" applyFill="1"/>
    <xf numFmtId="165" fontId="0" fillId="3" borderId="0" xfId="0" applyNumberFormat="1" applyFill="1"/>
    <xf numFmtId="0" fontId="2" fillId="6" borderId="1" xfId="0" applyFont="1" applyFill="1" applyBorder="1" applyAlignment="1">
      <alignment horizontal="center" vertical="center" wrapText="1"/>
    </xf>
    <xf numFmtId="165" fontId="2" fillId="6" borderId="1" xfId="0" applyNumberFormat="1" applyFont="1" applyFill="1" applyBorder="1" applyAlignment="1">
      <alignment horizontal="center" vertical="center" wrapText="1"/>
    </xf>
    <xf numFmtId="164" fontId="2" fillId="6" borderId="1" xfId="1" applyFont="1" applyFill="1" applyBorder="1" applyAlignment="1">
      <alignment horizontal="center" vertical="center" wrapText="1"/>
    </xf>
    <xf numFmtId="0" fontId="0" fillId="6" borderId="2" xfId="0" applyFill="1" applyBorder="1"/>
    <xf numFmtId="0" fontId="0" fillId="6" borderId="1" xfId="0" applyFill="1" applyBorder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7" fontId="0" fillId="0" borderId="1" xfId="0" applyNumberFormat="1" applyBorder="1" applyAlignment="1">
      <alignment vertical="center" wrapText="1"/>
    </xf>
    <xf numFmtId="167" fontId="0" fillId="0" borderId="2" xfId="0" applyNumberFormat="1" applyBorder="1"/>
    <xf numFmtId="167" fontId="0" fillId="0" borderId="1" xfId="0" applyNumberFormat="1" applyBorder="1"/>
    <xf numFmtId="0" fontId="3" fillId="7" borderId="3" xfId="0" applyFont="1" applyFill="1" applyBorder="1" applyAlignment="1">
      <alignment horizontal="center" vertical="center" wrapText="1"/>
    </xf>
    <xf numFmtId="168" fontId="3" fillId="7" borderId="3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168" fontId="4" fillId="0" borderId="3" xfId="0" applyNumberFormat="1" applyFont="1" applyBorder="1" applyAlignment="1">
      <alignment vertical="center" wrapText="1"/>
    </xf>
    <xf numFmtId="168" fontId="4" fillId="0" borderId="3" xfId="0" applyNumberFormat="1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/>
    <xf numFmtId="0" fontId="4" fillId="7" borderId="4" xfId="0" applyFont="1" applyFill="1" applyBorder="1" applyAlignment="1">
      <alignment horizontal="center" wrapText="1"/>
    </xf>
    <xf numFmtId="0" fontId="5" fillId="0" borderId="5" xfId="0" applyFont="1" applyBorder="1"/>
    <xf numFmtId="0" fontId="5" fillId="0" borderId="6" xfId="0" applyFont="1" applyBorder="1"/>
    <xf numFmtId="0" fontId="4" fillId="0" borderId="3" xfId="0" applyFont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2" fontId="4" fillId="0" borderId="3" xfId="2" applyNumberFormat="1" applyFont="1" applyBorder="1" applyAlignment="1">
      <alignment vertical="center" wrapText="1"/>
    </xf>
    <xf numFmtId="0" fontId="4" fillId="7" borderId="5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8" borderId="0" xfId="0" applyFont="1" applyFill="1"/>
    <xf numFmtId="168" fontId="4" fillId="8" borderId="0" xfId="0" applyNumberFormat="1" applyFont="1" applyFill="1"/>
    <xf numFmtId="0" fontId="4" fillId="8" borderId="0" xfId="0" applyFont="1" applyFill="1" applyAlignment="1">
      <alignment horizontal="center"/>
    </xf>
    <xf numFmtId="0" fontId="3" fillId="9" borderId="0" xfId="0" applyFont="1" applyFill="1"/>
    <xf numFmtId="0" fontId="4" fillId="9" borderId="0" xfId="0" applyFont="1" applyFill="1"/>
    <xf numFmtId="168" fontId="4" fillId="9" borderId="0" xfId="0" applyNumberFormat="1" applyFont="1" applyFill="1"/>
    <xf numFmtId="0" fontId="4" fillId="9" borderId="0" xfId="0" applyFont="1" applyFill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7" xfId="0" applyFont="1" applyBorder="1"/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/>
    <xf numFmtId="9" fontId="4" fillId="0" borderId="3" xfId="0" applyNumberFormat="1" applyFont="1" applyBorder="1" applyAlignment="1">
      <alignment vertical="center" wrapText="1"/>
    </xf>
    <xf numFmtId="0" fontId="0" fillId="6" borderId="1" xfId="0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164" fontId="0" fillId="0" borderId="1" xfId="1" applyFont="1" applyBorder="1" applyAlignment="1">
      <alignment horizontal="center"/>
    </xf>
    <xf numFmtId="0" fontId="0" fillId="10" borderId="1" xfId="0" applyFill="1" applyBorder="1"/>
    <xf numFmtId="164" fontId="0" fillId="0" borderId="1" xfId="1" applyFont="1" applyBorder="1"/>
    <xf numFmtId="0" fontId="2" fillId="0" borderId="0" xfId="0" applyFont="1" applyBorder="1" applyAlignment="1">
      <alignment vertical="center"/>
    </xf>
    <xf numFmtId="0" fontId="0" fillId="11" borderId="0" xfId="0" applyFill="1" applyBorder="1" applyAlignment="1">
      <alignment wrapText="1"/>
    </xf>
    <xf numFmtId="0" fontId="0" fillId="0" borderId="0" xfId="0" applyBorder="1" applyAlignment="1">
      <alignment vertical="center"/>
    </xf>
    <xf numFmtId="0" fontId="0" fillId="0" borderId="0" xfId="0" applyBorder="1"/>
    <xf numFmtId="0" fontId="2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167" fontId="0" fillId="12" borderId="1" xfId="0" applyNumberFormat="1" applyFill="1" applyBorder="1"/>
    <xf numFmtId="0" fontId="0" fillId="12" borderId="1" xfId="0" applyFill="1" applyBorder="1" applyAlignment="1">
      <alignment vertical="center" wrapText="1"/>
    </xf>
    <xf numFmtId="0" fontId="2" fillId="12" borderId="1" xfId="0" applyFont="1" applyFill="1" applyBorder="1"/>
    <xf numFmtId="0" fontId="0" fillId="12" borderId="1" xfId="0" applyFill="1" applyBorder="1" applyAlignment="1">
      <alignment horizontal="right"/>
    </xf>
    <xf numFmtId="0" fontId="8" fillId="13" borderId="0" xfId="0" applyFont="1" applyFill="1" applyAlignment="1">
      <alignment horizontal="center"/>
    </xf>
    <xf numFmtId="0" fontId="9" fillId="6" borderId="1" xfId="0" applyFont="1" applyFill="1" applyBorder="1" applyAlignment="1">
      <alignment horizontal="center" vertical="top"/>
    </xf>
    <xf numFmtId="0" fontId="9" fillId="6" borderId="1" xfId="0" applyFont="1" applyFill="1" applyBorder="1" applyAlignment="1">
      <alignment horizontal="center"/>
    </xf>
    <xf numFmtId="0" fontId="8" fillId="6" borderId="1" xfId="0" applyFont="1" applyFill="1" applyBorder="1"/>
    <xf numFmtId="0" fontId="0" fillId="2" borderId="1" xfId="0" applyFill="1" applyBorder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0" fillId="14" borderId="1" xfId="0" applyFont="1" applyFill="1" applyBorder="1" applyAlignment="1">
      <alignment horizontal="right" vertical="center" wrapText="1" indent="1" readingOrder="1"/>
    </xf>
    <xf numFmtId="0" fontId="11" fillId="0" borderId="1" xfId="0" applyFont="1" applyBorder="1" applyAlignment="1">
      <alignment horizontal="right" vertical="center" wrapText="1" indent="1" readingOrder="1"/>
    </xf>
    <xf numFmtId="0" fontId="11" fillId="0" borderId="1" xfId="0" applyFont="1" applyBorder="1" applyAlignment="1">
      <alignment horizontal="left" vertical="center" wrapText="1" indent="1" readingOrder="1"/>
    </xf>
    <xf numFmtId="167" fontId="11" fillId="0" borderId="1" xfId="0" applyNumberFormat="1" applyFont="1" applyBorder="1" applyAlignment="1">
      <alignment horizontal="right" vertical="center" wrapText="1" indent="1" readingOrder="1"/>
    </xf>
    <xf numFmtId="0" fontId="2" fillId="15" borderId="1" xfId="0" applyFont="1" applyFill="1" applyBorder="1"/>
    <xf numFmtId="173" fontId="2" fillId="0" borderId="1" xfId="0" applyNumberFormat="1" applyFont="1" applyBorder="1" applyAlignment="1">
      <alignment horizontal="left"/>
    </xf>
  </cellXfs>
  <cellStyles count="3">
    <cellStyle name="Currency" xfId="2" builtinId="4"/>
    <cellStyle name="Currency [0]" xfId="1" builtinId="7"/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5C27-1382-4396-AB41-25C28D213001}">
  <dimension ref="A1:CA263"/>
  <sheetViews>
    <sheetView topLeftCell="A15" zoomScale="86" workbookViewId="0">
      <selection activeCell="C51" sqref="C51"/>
    </sheetView>
  </sheetViews>
  <sheetFormatPr defaultRowHeight="15"/>
  <cols>
    <col min="1" max="1" width="3.42578125" customWidth="1"/>
    <col min="2" max="2" width="18.7109375" customWidth="1"/>
    <col min="3" max="3" width="31.42578125" customWidth="1"/>
    <col min="4" max="4" width="13.5703125" style="2" bestFit="1" customWidth="1"/>
    <col min="5" max="6" width="12" style="2" bestFit="1" customWidth="1"/>
    <col min="7" max="7" width="13.5703125" style="4" bestFit="1" customWidth="1"/>
    <col min="8" max="8" width="10.28515625" style="6" bestFit="1" customWidth="1"/>
    <col min="9" max="9" width="12" style="4" bestFit="1" customWidth="1"/>
    <col min="10" max="10" width="14" style="4" bestFit="1" customWidth="1"/>
    <col min="11" max="11" width="11.7109375" bestFit="1" customWidth="1"/>
  </cols>
  <sheetData>
    <row r="1" spans="1:11" ht="30">
      <c r="A1" s="19" t="s">
        <v>0</v>
      </c>
      <c r="B1" s="19" t="s">
        <v>1</v>
      </c>
      <c r="C1" s="19" t="s">
        <v>2</v>
      </c>
      <c r="D1" s="20" t="s">
        <v>3</v>
      </c>
      <c r="E1" s="20" t="s">
        <v>4</v>
      </c>
      <c r="F1" s="20" t="s">
        <v>5</v>
      </c>
      <c r="G1" s="21" t="s">
        <v>6</v>
      </c>
      <c r="H1" s="19" t="s">
        <v>7</v>
      </c>
      <c r="I1" s="21" t="s">
        <v>8</v>
      </c>
      <c r="J1" s="21" t="s">
        <v>9</v>
      </c>
      <c r="K1" s="19" t="s">
        <v>10</v>
      </c>
    </row>
    <row r="2" spans="1:11">
      <c r="A2" s="1">
        <v>1</v>
      </c>
      <c r="B2" s="1" t="s">
        <v>11</v>
      </c>
      <c r="C2" s="1" t="s">
        <v>12</v>
      </c>
      <c r="D2" s="27">
        <v>5000000</v>
      </c>
      <c r="E2" s="27">
        <v>500000</v>
      </c>
      <c r="F2" s="27">
        <v>250000</v>
      </c>
      <c r="G2" s="3">
        <f>D2+E2</f>
        <v>5500000</v>
      </c>
      <c r="H2" s="5">
        <v>95</v>
      </c>
      <c r="I2" s="3">
        <f>IF(H2&gt;=95,D2*10%,IF(H2&gt;=90,D2*5%,D2*2%))</f>
        <v>500000</v>
      </c>
      <c r="J2" s="8">
        <f>(G2+I2)-F2</f>
        <v>5750000</v>
      </c>
      <c r="K2" s="1" t="str">
        <f>IF(H2&gt;=95,"Sangat Baik",IF(H2&gt;=90,"Baik",IF(H2&gt;=80,"Cukup","Kurang")))</f>
        <v>Sangat Baik</v>
      </c>
    </row>
    <row r="3" spans="1:11">
      <c r="A3" s="1">
        <v>2</v>
      </c>
      <c r="B3" s="1" t="s">
        <v>13</v>
      </c>
      <c r="C3" s="1" t="s">
        <v>14</v>
      </c>
      <c r="D3" s="27">
        <v>4500000</v>
      </c>
      <c r="E3" s="27">
        <v>450000</v>
      </c>
      <c r="F3" s="27">
        <v>150000</v>
      </c>
      <c r="G3" s="3">
        <f t="shared" ref="G3:G26" si="0">D3+E3</f>
        <v>4950000</v>
      </c>
      <c r="H3" s="5">
        <v>87</v>
      </c>
      <c r="I3" s="3">
        <f t="shared" ref="I3:I26" si="1">IF(H3&gt;=95,D3*10%,IF(H3&gt;=90,D3*5%,D3*2%))</f>
        <v>90000</v>
      </c>
      <c r="J3" s="8">
        <f t="shared" ref="J3:J26" si="2">(G3+I3)-F3</f>
        <v>4890000</v>
      </c>
      <c r="K3" s="1" t="str">
        <f t="shared" ref="K3:K26" si="3">IF(H3&gt;=95,"Sangat Baik",IF(H3&gt;=90,"Baik",IF(H3&gt;=80,"Cukup","Kurang")))</f>
        <v>Cukup</v>
      </c>
    </row>
    <row r="4" spans="1:11">
      <c r="A4" s="1">
        <v>3</v>
      </c>
      <c r="B4" s="1" t="s">
        <v>15</v>
      </c>
      <c r="C4" s="1" t="s">
        <v>16</v>
      </c>
      <c r="D4" s="27">
        <v>4200000</v>
      </c>
      <c r="E4" s="27">
        <v>420000</v>
      </c>
      <c r="F4" s="27">
        <v>100000</v>
      </c>
      <c r="G4" s="3">
        <f t="shared" si="0"/>
        <v>4620000</v>
      </c>
      <c r="H4" s="5">
        <v>92</v>
      </c>
      <c r="I4" s="3">
        <f t="shared" si="1"/>
        <v>210000</v>
      </c>
      <c r="J4" s="8">
        <f t="shared" si="2"/>
        <v>4730000</v>
      </c>
      <c r="K4" s="1" t="str">
        <f t="shared" si="3"/>
        <v>Baik</v>
      </c>
    </row>
    <row r="5" spans="1:11">
      <c r="A5" s="1">
        <v>4</v>
      </c>
      <c r="B5" s="1" t="s">
        <v>17</v>
      </c>
      <c r="C5" s="1" t="s">
        <v>18</v>
      </c>
      <c r="D5" s="27">
        <v>5200000</v>
      </c>
      <c r="E5" s="27">
        <v>520000</v>
      </c>
      <c r="F5" s="27">
        <v>300000</v>
      </c>
      <c r="G5" s="3">
        <f t="shared" si="0"/>
        <v>5720000</v>
      </c>
      <c r="H5" s="5">
        <v>98</v>
      </c>
      <c r="I5" s="3">
        <f t="shared" si="1"/>
        <v>520000</v>
      </c>
      <c r="J5" s="8">
        <f t="shared" si="2"/>
        <v>5940000</v>
      </c>
      <c r="K5" s="1" t="str">
        <f t="shared" si="3"/>
        <v>Sangat Baik</v>
      </c>
    </row>
    <row r="6" spans="1:11">
      <c r="A6" s="1">
        <v>5</v>
      </c>
      <c r="B6" s="1" t="s">
        <v>19</v>
      </c>
      <c r="C6" s="1" t="s">
        <v>20</v>
      </c>
      <c r="D6" s="27">
        <v>5800000</v>
      </c>
      <c r="E6" s="27">
        <v>580000</v>
      </c>
      <c r="F6" s="27">
        <v>200000</v>
      </c>
      <c r="G6" s="3">
        <f t="shared" si="0"/>
        <v>6380000</v>
      </c>
      <c r="H6" s="5">
        <v>94</v>
      </c>
      <c r="I6" s="3">
        <f t="shared" si="1"/>
        <v>290000</v>
      </c>
      <c r="J6" s="8">
        <f t="shared" si="2"/>
        <v>6470000</v>
      </c>
      <c r="K6" s="1" t="str">
        <f t="shared" si="3"/>
        <v>Baik</v>
      </c>
    </row>
    <row r="7" spans="1:11">
      <c r="A7" s="1">
        <v>6</v>
      </c>
      <c r="B7" s="1" t="s">
        <v>21</v>
      </c>
      <c r="C7" s="1" t="s">
        <v>22</v>
      </c>
      <c r="D7" s="27">
        <v>4900000</v>
      </c>
      <c r="E7" s="27">
        <v>490000</v>
      </c>
      <c r="F7" s="27">
        <v>250000</v>
      </c>
      <c r="G7" s="3">
        <f t="shared" si="0"/>
        <v>5390000</v>
      </c>
      <c r="H7" s="5">
        <v>80</v>
      </c>
      <c r="I7" s="3">
        <f t="shared" si="1"/>
        <v>98000</v>
      </c>
      <c r="J7" s="8">
        <f t="shared" si="2"/>
        <v>5238000</v>
      </c>
      <c r="K7" s="1" t="str">
        <f t="shared" si="3"/>
        <v>Cukup</v>
      </c>
    </row>
    <row r="8" spans="1:11">
      <c r="A8" s="1">
        <v>7</v>
      </c>
      <c r="B8" s="1" t="s">
        <v>23</v>
      </c>
      <c r="C8" s="1" t="s">
        <v>24</v>
      </c>
      <c r="D8" s="27">
        <v>4300000</v>
      </c>
      <c r="E8" s="27">
        <v>430000</v>
      </c>
      <c r="F8" s="27">
        <v>100000</v>
      </c>
      <c r="G8" s="3">
        <f t="shared" si="0"/>
        <v>4730000</v>
      </c>
      <c r="H8" s="5">
        <v>88</v>
      </c>
      <c r="I8" s="3">
        <f t="shared" si="1"/>
        <v>86000</v>
      </c>
      <c r="J8" s="8">
        <f t="shared" si="2"/>
        <v>4716000</v>
      </c>
      <c r="K8" s="1" t="str">
        <f t="shared" si="3"/>
        <v>Cukup</v>
      </c>
    </row>
    <row r="9" spans="1:11">
      <c r="A9" s="1">
        <v>8</v>
      </c>
      <c r="B9" s="1" t="s">
        <v>25</v>
      </c>
      <c r="C9" s="1" t="s">
        <v>26</v>
      </c>
      <c r="D9" s="27">
        <v>4700000</v>
      </c>
      <c r="E9" s="27">
        <v>470000</v>
      </c>
      <c r="F9" s="27">
        <v>150000</v>
      </c>
      <c r="G9" s="3">
        <f t="shared" si="0"/>
        <v>5170000</v>
      </c>
      <c r="H9" s="5">
        <v>90</v>
      </c>
      <c r="I9" s="3">
        <f t="shared" si="1"/>
        <v>235000</v>
      </c>
      <c r="J9" s="8">
        <f t="shared" si="2"/>
        <v>5255000</v>
      </c>
      <c r="K9" s="1" t="str">
        <f t="shared" si="3"/>
        <v>Baik</v>
      </c>
    </row>
    <row r="10" spans="1:11">
      <c r="A10" s="1">
        <v>9</v>
      </c>
      <c r="B10" s="1" t="s">
        <v>27</v>
      </c>
      <c r="C10" s="1" t="s">
        <v>28</v>
      </c>
      <c r="D10" s="27">
        <v>5000000</v>
      </c>
      <c r="E10" s="27">
        <v>500000</v>
      </c>
      <c r="F10" s="27">
        <v>200000</v>
      </c>
      <c r="G10" s="3">
        <f t="shared" si="0"/>
        <v>5500000</v>
      </c>
      <c r="H10" s="5">
        <v>91</v>
      </c>
      <c r="I10" s="3">
        <f t="shared" si="1"/>
        <v>250000</v>
      </c>
      <c r="J10" s="8">
        <f t="shared" si="2"/>
        <v>5550000</v>
      </c>
      <c r="K10" s="1" t="str">
        <f t="shared" si="3"/>
        <v>Baik</v>
      </c>
    </row>
    <row r="11" spans="1:11">
      <c r="A11" s="1">
        <v>10</v>
      </c>
      <c r="B11" s="1" t="s">
        <v>29</v>
      </c>
      <c r="C11" s="1" t="s">
        <v>22</v>
      </c>
      <c r="D11" s="27">
        <v>4600000</v>
      </c>
      <c r="E11" s="27">
        <v>460000</v>
      </c>
      <c r="F11" s="27">
        <v>100000</v>
      </c>
      <c r="G11" s="3">
        <f t="shared" si="0"/>
        <v>5060000</v>
      </c>
      <c r="H11" s="5">
        <v>85</v>
      </c>
      <c r="I11" s="3">
        <f t="shared" si="1"/>
        <v>92000</v>
      </c>
      <c r="J11" s="8">
        <f t="shared" si="2"/>
        <v>5052000</v>
      </c>
      <c r="K11" s="1" t="str">
        <f t="shared" si="3"/>
        <v>Cukup</v>
      </c>
    </row>
    <row r="12" spans="1:11">
      <c r="A12" s="1">
        <v>11</v>
      </c>
      <c r="B12" s="1" t="s">
        <v>30</v>
      </c>
      <c r="C12" s="1" t="s">
        <v>20</v>
      </c>
      <c r="D12" s="27">
        <v>5400000</v>
      </c>
      <c r="E12" s="27">
        <v>540000</v>
      </c>
      <c r="F12" s="27">
        <v>150000</v>
      </c>
      <c r="G12" s="3">
        <f t="shared" si="0"/>
        <v>5940000</v>
      </c>
      <c r="H12" s="5">
        <v>96</v>
      </c>
      <c r="I12" s="3">
        <f t="shared" si="1"/>
        <v>540000</v>
      </c>
      <c r="J12" s="8">
        <f t="shared" si="2"/>
        <v>6330000</v>
      </c>
      <c r="K12" s="1" t="str">
        <f t="shared" si="3"/>
        <v>Sangat Baik</v>
      </c>
    </row>
    <row r="13" spans="1:11">
      <c r="A13" s="1">
        <v>12</v>
      </c>
      <c r="B13" s="1" t="s">
        <v>31</v>
      </c>
      <c r="C13" s="1" t="s">
        <v>18</v>
      </c>
      <c r="D13" s="27">
        <v>5300000</v>
      </c>
      <c r="E13" s="27">
        <v>530000</v>
      </c>
      <c r="F13" s="27">
        <v>120000</v>
      </c>
      <c r="G13" s="3">
        <f t="shared" si="0"/>
        <v>5830000</v>
      </c>
      <c r="H13" s="5">
        <v>99</v>
      </c>
      <c r="I13" s="3">
        <f t="shared" si="1"/>
        <v>530000</v>
      </c>
      <c r="J13" s="8">
        <f t="shared" si="2"/>
        <v>6240000</v>
      </c>
      <c r="K13" s="1" t="str">
        <f t="shared" si="3"/>
        <v>Sangat Baik</v>
      </c>
    </row>
    <row r="14" spans="1:11">
      <c r="A14" s="1">
        <v>13</v>
      </c>
      <c r="B14" s="1" t="s">
        <v>32</v>
      </c>
      <c r="C14" s="1" t="s">
        <v>12</v>
      </c>
      <c r="D14" s="27">
        <v>5100000</v>
      </c>
      <c r="E14" s="27">
        <v>510000</v>
      </c>
      <c r="F14" s="27">
        <v>250000</v>
      </c>
      <c r="G14" s="3">
        <f t="shared" si="0"/>
        <v>5610000</v>
      </c>
      <c r="H14" s="5">
        <v>93</v>
      </c>
      <c r="I14" s="3">
        <f t="shared" si="1"/>
        <v>255000</v>
      </c>
      <c r="J14" s="8">
        <f t="shared" si="2"/>
        <v>5615000</v>
      </c>
      <c r="K14" s="1" t="str">
        <f t="shared" si="3"/>
        <v>Baik</v>
      </c>
    </row>
    <row r="15" spans="1:11">
      <c r="A15" s="1">
        <v>14</v>
      </c>
      <c r="B15" s="1" t="s">
        <v>33</v>
      </c>
      <c r="C15" s="1" t="s">
        <v>26</v>
      </c>
      <c r="D15" s="27">
        <v>4400000</v>
      </c>
      <c r="E15" s="27">
        <v>440000</v>
      </c>
      <c r="F15" s="27">
        <v>100000</v>
      </c>
      <c r="G15" s="3">
        <f t="shared" si="0"/>
        <v>4840000</v>
      </c>
      <c r="H15" s="5">
        <v>97</v>
      </c>
      <c r="I15" s="3">
        <f t="shared" si="1"/>
        <v>440000</v>
      </c>
      <c r="J15" s="8">
        <f t="shared" si="2"/>
        <v>5180000</v>
      </c>
      <c r="K15" s="1" t="str">
        <f t="shared" si="3"/>
        <v>Sangat Baik</v>
      </c>
    </row>
    <row r="16" spans="1:11">
      <c r="A16" s="1">
        <v>15</v>
      </c>
      <c r="B16" s="1" t="s">
        <v>34</v>
      </c>
      <c r="C16" s="1" t="s">
        <v>14</v>
      </c>
      <c r="D16" s="27">
        <v>4600000</v>
      </c>
      <c r="E16" s="27">
        <v>460000</v>
      </c>
      <c r="F16" s="27">
        <v>200000</v>
      </c>
      <c r="G16" s="3">
        <f t="shared" si="0"/>
        <v>5060000</v>
      </c>
      <c r="H16" s="5">
        <v>89</v>
      </c>
      <c r="I16" s="3">
        <f t="shared" si="1"/>
        <v>92000</v>
      </c>
      <c r="J16" s="8">
        <f t="shared" si="2"/>
        <v>4952000</v>
      </c>
      <c r="K16" s="1" t="str">
        <f t="shared" si="3"/>
        <v>Cukup</v>
      </c>
    </row>
    <row r="17" spans="1:77">
      <c r="A17" s="1">
        <v>16</v>
      </c>
      <c r="B17" s="1" t="s">
        <v>35</v>
      </c>
      <c r="C17" s="1" t="s">
        <v>16</v>
      </c>
      <c r="D17" s="27">
        <v>4200000</v>
      </c>
      <c r="E17" s="27">
        <v>420000</v>
      </c>
      <c r="F17" s="27">
        <v>120000</v>
      </c>
      <c r="G17" s="3">
        <f t="shared" si="0"/>
        <v>4620000</v>
      </c>
      <c r="H17" s="5">
        <v>92</v>
      </c>
      <c r="I17" s="3">
        <f t="shared" si="1"/>
        <v>210000</v>
      </c>
      <c r="J17" s="8">
        <f t="shared" si="2"/>
        <v>4710000</v>
      </c>
      <c r="K17" s="1" t="str">
        <f t="shared" si="3"/>
        <v>Baik</v>
      </c>
    </row>
    <row r="18" spans="1:77">
      <c r="A18" s="1">
        <v>17</v>
      </c>
      <c r="B18" s="1" t="s">
        <v>36</v>
      </c>
      <c r="C18" s="1" t="s">
        <v>24</v>
      </c>
      <c r="D18" s="27">
        <v>4800000</v>
      </c>
      <c r="E18" s="27">
        <v>480000</v>
      </c>
      <c r="F18" s="27">
        <v>180000</v>
      </c>
      <c r="G18" s="3">
        <f t="shared" si="0"/>
        <v>5280000</v>
      </c>
      <c r="H18" s="5">
        <v>88</v>
      </c>
      <c r="I18" s="3">
        <f t="shared" si="1"/>
        <v>96000</v>
      </c>
      <c r="J18" s="8">
        <f t="shared" si="2"/>
        <v>5196000</v>
      </c>
      <c r="K18" s="1" t="str">
        <f t="shared" si="3"/>
        <v>Cukup</v>
      </c>
    </row>
    <row r="19" spans="1:77">
      <c r="A19" s="1">
        <v>18</v>
      </c>
      <c r="B19" s="1" t="s">
        <v>37</v>
      </c>
      <c r="C19" s="1" t="s">
        <v>18</v>
      </c>
      <c r="D19" s="27">
        <v>5000000</v>
      </c>
      <c r="E19" s="27">
        <v>500000</v>
      </c>
      <c r="F19" s="27">
        <v>200000</v>
      </c>
      <c r="G19" s="3">
        <f t="shared" si="0"/>
        <v>5500000</v>
      </c>
      <c r="H19" s="5">
        <v>95</v>
      </c>
      <c r="I19" s="3">
        <f t="shared" si="1"/>
        <v>500000</v>
      </c>
      <c r="J19" s="8">
        <f t="shared" si="2"/>
        <v>5800000</v>
      </c>
      <c r="K19" s="1" t="str">
        <f t="shared" si="3"/>
        <v>Sangat Baik</v>
      </c>
    </row>
    <row r="20" spans="1:77">
      <c r="A20" s="1">
        <v>19</v>
      </c>
      <c r="B20" s="1" t="s">
        <v>38</v>
      </c>
      <c r="C20" s="1" t="s">
        <v>20</v>
      </c>
      <c r="D20" s="27">
        <v>5600000</v>
      </c>
      <c r="E20" s="27">
        <v>560000</v>
      </c>
      <c r="F20" s="27">
        <v>250000</v>
      </c>
      <c r="G20" s="3">
        <f t="shared" si="0"/>
        <v>6160000</v>
      </c>
      <c r="H20" s="5">
        <v>97</v>
      </c>
      <c r="I20" s="3">
        <f t="shared" si="1"/>
        <v>560000</v>
      </c>
      <c r="J20" s="8">
        <f t="shared" si="2"/>
        <v>6470000</v>
      </c>
      <c r="K20" s="1" t="str">
        <f t="shared" si="3"/>
        <v>Sangat Baik</v>
      </c>
    </row>
    <row r="21" spans="1:77">
      <c r="A21" s="1">
        <v>20</v>
      </c>
      <c r="B21" s="1" t="s">
        <v>39</v>
      </c>
      <c r="C21" s="1" t="s">
        <v>22</v>
      </c>
      <c r="D21" s="27">
        <v>4700000</v>
      </c>
      <c r="E21" s="27">
        <v>470000</v>
      </c>
      <c r="F21" s="27">
        <v>180000</v>
      </c>
      <c r="G21" s="3">
        <f t="shared" si="0"/>
        <v>5170000</v>
      </c>
      <c r="H21" s="5">
        <v>83</v>
      </c>
      <c r="I21" s="3">
        <f t="shared" si="1"/>
        <v>94000</v>
      </c>
      <c r="J21" s="8">
        <f t="shared" si="2"/>
        <v>5084000</v>
      </c>
      <c r="K21" s="1" t="str">
        <f t="shared" si="3"/>
        <v>Cukup</v>
      </c>
    </row>
    <row r="22" spans="1:77">
      <c r="A22" s="1">
        <v>21</v>
      </c>
      <c r="B22" s="1" t="s">
        <v>40</v>
      </c>
      <c r="C22" s="1" t="s">
        <v>14</v>
      </c>
      <c r="D22" s="27">
        <v>4500000</v>
      </c>
      <c r="E22" s="27">
        <v>450000</v>
      </c>
      <c r="F22" s="27">
        <v>150000</v>
      </c>
      <c r="G22" s="3">
        <f t="shared" si="0"/>
        <v>4950000</v>
      </c>
      <c r="H22" s="5">
        <v>90</v>
      </c>
      <c r="I22" s="3">
        <f t="shared" si="1"/>
        <v>225000</v>
      </c>
      <c r="J22" s="8">
        <f t="shared" si="2"/>
        <v>5025000</v>
      </c>
      <c r="K22" s="1" t="str">
        <f t="shared" si="3"/>
        <v>Baik</v>
      </c>
    </row>
    <row r="23" spans="1:77">
      <c r="A23" s="1">
        <v>22</v>
      </c>
      <c r="B23" s="1" t="s">
        <v>41</v>
      </c>
      <c r="C23" s="1" t="s">
        <v>12</v>
      </c>
      <c r="D23" s="27">
        <v>5300000</v>
      </c>
      <c r="E23" s="27">
        <v>530000</v>
      </c>
      <c r="F23" s="27">
        <v>200000</v>
      </c>
      <c r="G23" s="3">
        <f t="shared" si="0"/>
        <v>5830000</v>
      </c>
      <c r="H23" s="5">
        <v>92</v>
      </c>
      <c r="I23" s="3">
        <f t="shared" si="1"/>
        <v>265000</v>
      </c>
      <c r="J23" s="8">
        <f t="shared" si="2"/>
        <v>5895000</v>
      </c>
      <c r="K23" s="1" t="str">
        <f t="shared" si="3"/>
        <v>Baik</v>
      </c>
    </row>
    <row r="24" spans="1:77">
      <c r="A24" s="1">
        <v>23</v>
      </c>
      <c r="B24" s="1" t="s">
        <v>42</v>
      </c>
      <c r="C24" s="1" t="s">
        <v>26</v>
      </c>
      <c r="D24" s="27">
        <v>4800000</v>
      </c>
      <c r="E24" s="27">
        <v>480000</v>
      </c>
      <c r="F24" s="27">
        <v>100000</v>
      </c>
      <c r="G24" s="3">
        <f t="shared" si="0"/>
        <v>5280000</v>
      </c>
      <c r="H24" s="5">
        <v>86</v>
      </c>
      <c r="I24" s="3">
        <f t="shared" si="1"/>
        <v>96000</v>
      </c>
      <c r="J24" s="8">
        <f t="shared" si="2"/>
        <v>5276000</v>
      </c>
      <c r="K24" s="1" t="str">
        <f t="shared" si="3"/>
        <v>Cukup</v>
      </c>
    </row>
    <row r="25" spans="1:77">
      <c r="A25" s="1">
        <v>24</v>
      </c>
      <c r="B25" s="1" t="s">
        <v>43</v>
      </c>
      <c r="C25" s="1" t="s">
        <v>16</v>
      </c>
      <c r="D25" s="27">
        <v>4200000</v>
      </c>
      <c r="E25" s="27">
        <v>420000</v>
      </c>
      <c r="F25" s="27">
        <v>120000</v>
      </c>
      <c r="G25" s="3">
        <f t="shared" si="0"/>
        <v>4620000</v>
      </c>
      <c r="H25" s="5">
        <v>89</v>
      </c>
      <c r="I25" s="3">
        <f t="shared" si="1"/>
        <v>84000</v>
      </c>
      <c r="J25" s="8">
        <f t="shared" si="2"/>
        <v>4584000</v>
      </c>
      <c r="K25" s="1" t="str">
        <f t="shared" si="3"/>
        <v>Cukup</v>
      </c>
    </row>
    <row r="26" spans="1:77">
      <c r="A26" s="1">
        <v>25</v>
      </c>
      <c r="B26" s="1" t="s">
        <v>44</v>
      </c>
      <c r="C26" s="1" t="s">
        <v>18</v>
      </c>
      <c r="D26" s="27">
        <v>5100000</v>
      </c>
      <c r="E26" s="27">
        <v>510000</v>
      </c>
      <c r="F26" s="27">
        <v>150000</v>
      </c>
      <c r="G26" s="3">
        <f t="shared" si="0"/>
        <v>5610000</v>
      </c>
      <c r="H26" s="5">
        <v>98</v>
      </c>
      <c r="I26" s="3">
        <f t="shared" si="1"/>
        <v>510000</v>
      </c>
      <c r="J26" s="8">
        <f t="shared" si="2"/>
        <v>5970000</v>
      </c>
      <c r="K26" s="1" t="str">
        <f t="shared" si="3"/>
        <v>Sangat Baik</v>
      </c>
    </row>
    <row r="27" spans="1:77">
      <c r="A27" s="22" t="s">
        <v>45</v>
      </c>
      <c r="B27" s="22"/>
      <c r="C27" s="28">
        <f>AVERAGE(D2:D26)</f>
        <v>4848000</v>
      </c>
      <c r="D27" s="9"/>
      <c r="E27" s="9"/>
      <c r="F27" s="9"/>
      <c r="G27" s="11"/>
      <c r="H27" s="10"/>
      <c r="I27" s="10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</row>
    <row r="28" spans="1:77">
      <c r="A28" s="23" t="s">
        <v>46</v>
      </c>
      <c r="B28" s="23"/>
      <c r="C28" s="29">
        <f>SUM(J2:J26)</f>
        <v>135918000</v>
      </c>
      <c r="D28" s="9"/>
      <c r="E28" s="9"/>
      <c r="F28" s="9"/>
      <c r="G28" s="11"/>
      <c r="H28" s="10"/>
      <c r="I28" s="10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</row>
    <row r="29" spans="1:77">
      <c r="A29" s="23" t="s">
        <v>47</v>
      </c>
      <c r="B29" s="23"/>
      <c r="C29" s="29">
        <f>SUM(I2:I26)</f>
        <v>6868000</v>
      </c>
      <c r="D29" s="9"/>
      <c r="E29" s="9"/>
      <c r="F29" s="9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</row>
    <row r="30" spans="1:77">
      <c r="A30" s="7"/>
      <c r="B30" s="7"/>
      <c r="C30" s="7"/>
      <c r="D30" s="9"/>
      <c r="E30" s="9"/>
      <c r="F30" s="9"/>
      <c r="G30" s="10"/>
      <c r="H30" s="10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</row>
    <row r="31" spans="1:77">
      <c r="A31" s="7"/>
      <c r="B31" s="7"/>
      <c r="C31" s="7"/>
      <c r="D31" s="9"/>
      <c r="E31" s="9"/>
      <c r="F31" s="9"/>
      <c r="G31" s="10"/>
      <c r="H31" s="10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</row>
    <row r="32" spans="1:77">
      <c r="A32" s="24" t="s">
        <v>48</v>
      </c>
      <c r="B32" s="24"/>
      <c r="C32" s="12" t="s">
        <v>49</v>
      </c>
      <c r="D32" s="18"/>
      <c r="E32" s="18"/>
      <c r="F32" s="9"/>
      <c r="G32" s="10"/>
      <c r="H32" s="10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</row>
    <row r="33" spans="1:79">
      <c r="A33" s="25" t="s">
        <v>54</v>
      </c>
      <c r="B33" s="25"/>
      <c r="C33" s="13" t="s">
        <v>50</v>
      </c>
      <c r="D33" s="14"/>
      <c r="E33" s="14"/>
      <c r="F33" s="9"/>
      <c r="G33" s="10"/>
      <c r="H33" s="10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</row>
    <row r="34" spans="1:79">
      <c r="A34" s="13"/>
      <c r="B34" s="13"/>
      <c r="C34" s="13" t="s">
        <v>51</v>
      </c>
      <c r="D34" s="14"/>
      <c r="E34" s="14"/>
      <c r="F34" s="9"/>
      <c r="G34" s="10"/>
      <c r="H34" s="10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</row>
    <row r="35" spans="1:79">
      <c r="A35" s="13"/>
      <c r="B35" s="13"/>
      <c r="C35" s="13" t="s">
        <v>52</v>
      </c>
      <c r="D35" s="14"/>
      <c r="E35" s="14"/>
      <c r="F35" s="9"/>
      <c r="G35" s="10"/>
      <c r="H35" s="10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</row>
    <row r="36" spans="1:79">
      <c r="A36" s="13"/>
      <c r="B36" s="13"/>
      <c r="C36" s="15" t="s">
        <v>53</v>
      </c>
      <c r="D36" s="14"/>
      <c r="E36" s="14"/>
      <c r="F36" s="9"/>
      <c r="G36" s="10"/>
      <c r="H36" s="11"/>
      <c r="I36" s="10"/>
      <c r="J36" s="10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</row>
    <row r="37" spans="1:79">
      <c r="A37" s="26" t="s">
        <v>8</v>
      </c>
      <c r="B37" s="26"/>
      <c r="C37" s="16" t="s">
        <v>55</v>
      </c>
      <c r="D37" s="17"/>
      <c r="E37" s="17"/>
      <c r="F37" s="9"/>
      <c r="G37" s="10"/>
      <c r="H37" s="11"/>
      <c r="I37" s="10"/>
      <c r="J37" s="10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</row>
    <row r="38" spans="1:79">
      <c r="A38" s="16"/>
      <c r="B38" s="16"/>
      <c r="C38" s="16" t="s">
        <v>56</v>
      </c>
      <c r="D38" s="17"/>
      <c r="E38" s="17"/>
      <c r="F38" s="9"/>
      <c r="G38" s="10"/>
      <c r="H38" s="11"/>
      <c r="I38" s="10"/>
      <c r="J38" s="10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</row>
    <row r="39" spans="1:79">
      <c r="A39" s="16"/>
      <c r="B39" s="16"/>
      <c r="C39" s="16" t="s">
        <v>57</v>
      </c>
      <c r="D39" s="17"/>
      <c r="E39" s="17"/>
      <c r="F39" s="9"/>
      <c r="G39" s="10"/>
      <c r="H39" s="11"/>
      <c r="I39" s="10"/>
      <c r="J39" s="10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</row>
    <row r="40" spans="1:79">
      <c r="A40" s="25" t="s">
        <v>9</v>
      </c>
      <c r="B40" s="25"/>
      <c r="C40" s="13" t="s">
        <v>58</v>
      </c>
      <c r="D40" s="14"/>
      <c r="E40" s="14"/>
      <c r="F40" s="9"/>
      <c r="G40" s="10"/>
      <c r="H40" s="11"/>
      <c r="I40" s="10"/>
      <c r="J40" s="10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</row>
    <row r="41" spans="1:79">
      <c r="A41" s="7"/>
      <c r="B41" s="7"/>
      <c r="C41" s="7"/>
      <c r="D41" s="9"/>
      <c r="E41" s="9"/>
      <c r="F41" s="9"/>
      <c r="G41" s="10"/>
      <c r="H41" s="11"/>
      <c r="I41" s="10"/>
      <c r="J41" s="10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</row>
    <row r="42" spans="1:79">
      <c r="A42" s="7"/>
      <c r="B42" s="7"/>
      <c r="C42" s="7"/>
      <c r="D42" s="9"/>
      <c r="E42" s="9"/>
      <c r="F42" s="9"/>
      <c r="G42" s="10"/>
      <c r="H42" s="11"/>
      <c r="I42" s="10"/>
      <c r="J42" s="10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</row>
    <row r="43" spans="1:79">
      <c r="A43" s="7"/>
      <c r="B43" s="7"/>
      <c r="C43" s="7"/>
      <c r="D43" s="9"/>
      <c r="E43" s="9"/>
      <c r="F43" s="9"/>
      <c r="G43" s="10"/>
      <c r="H43" s="11"/>
      <c r="I43" s="10"/>
      <c r="J43" s="10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</row>
    <row r="44" spans="1:79">
      <c r="A44" s="7"/>
      <c r="B44" s="7"/>
      <c r="C44" s="7"/>
      <c r="D44" s="9"/>
      <c r="E44" s="9"/>
      <c r="F44" s="9"/>
      <c r="G44" s="10"/>
      <c r="H44" s="11"/>
      <c r="I44" s="10"/>
      <c r="J44" s="10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</row>
    <row r="45" spans="1:79">
      <c r="A45" s="7"/>
      <c r="B45" s="7"/>
      <c r="C45" s="7"/>
      <c r="D45" s="9"/>
      <c r="E45" s="9"/>
      <c r="F45" s="9"/>
      <c r="G45" s="10"/>
      <c r="H45" s="11"/>
      <c r="I45" s="10"/>
      <c r="J45" s="10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</row>
    <row r="46" spans="1:79">
      <c r="A46" s="7"/>
      <c r="B46" s="7"/>
      <c r="C46" s="7"/>
      <c r="D46" s="9"/>
      <c r="E46" s="9"/>
      <c r="F46" s="9"/>
      <c r="G46" s="10"/>
      <c r="H46" s="11"/>
      <c r="I46" s="10"/>
      <c r="J46" s="10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</row>
    <row r="47" spans="1:79">
      <c r="A47" s="7"/>
      <c r="B47" s="7"/>
      <c r="C47" s="7"/>
      <c r="D47" s="9"/>
      <c r="E47" s="9"/>
      <c r="F47" s="9"/>
      <c r="G47" s="10"/>
      <c r="H47" s="11"/>
      <c r="I47" s="10"/>
      <c r="J47" s="10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</row>
    <row r="48" spans="1:79">
      <c r="A48" s="7"/>
      <c r="B48" s="7"/>
      <c r="C48" s="7"/>
      <c r="D48" s="9"/>
      <c r="E48" s="9"/>
      <c r="F48" s="9"/>
      <c r="G48" s="10"/>
      <c r="H48" s="11"/>
      <c r="I48" s="10"/>
      <c r="J48" s="10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</row>
    <row r="49" spans="1:79">
      <c r="A49" s="7"/>
      <c r="B49" s="7"/>
      <c r="C49" s="7"/>
      <c r="D49" s="9"/>
      <c r="E49" s="9"/>
      <c r="F49" s="9"/>
      <c r="G49" s="10"/>
      <c r="H49" s="11"/>
      <c r="I49" s="10"/>
      <c r="J49" s="10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</row>
    <row r="50" spans="1:79">
      <c r="A50" s="7"/>
      <c r="B50" s="7"/>
      <c r="C50" s="7"/>
      <c r="D50" s="9"/>
      <c r="E50" s="9"/>
      <c r="F50" s="9"/>
      <c r="G50" s="10"/>
      <c r="H50" s="11"/>
      <c r="I50" s="10"/>
      <c r="J50" s="10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</row>
    <row r="51" spans="1:79">
      <c r="A51" s="7"/>
      <c r="B51" s="7"/>
      <c r="C51" s="7"/>
      <c r="D51" s="9"/>
      <c r="E51" s="9"/>
      <c r="F51" s="9"/>
      <c r="G51" s="10"/>
      <c r="H51" s="11"/>
      <c r="I51" s="10"/>
      <c r="J51" s="10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</row>
    <row r="52" spans="1:79">
      <c r="A52" s="7"/>
      <c r="B52" s="7"/>
      <c r="C52" s="7"/>
      <c r="D52" s="9"/>
      <c r="E52" s="9"/>
      <c r="F52" s="9"/>
      <c r="G52" s="10"/>
      <c r="H52" s="11"/>
      <c r="I52" s="10"/>
      <c r="J52" s="10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</row>
    <row r="53" spans="1:79">
      <c r="A53" s="7"/>
      <c r="B53" s="7"/>
      <c r="C53" s="7"/>
      <c r="D53" s="9"/>
      <c r="E53" s="9"/>
      <c r="F53" s="9"/>
      <c r="G53" s="10"/>
      <c r="H53" s="11"/>
      <c r="I53" s="10"/>
      <c r="J53" s="10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</row>
    <row r="54" spans="1:79">
      <c r="A54" s="7"/>
      <c r="B54" s="7"/>
      <c r="C54" s="7"/>
      <c r="D54" s="9"/>
      <c r="E54" s="9"/>
      <c r="F54" s="9"/>
      <c r="G54" s="10"/>
      <c r="H54" s="11"/>
      <c r="I54" s="10"/>
      <c r="J54" s="10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</row>
    <row r="55" spans="1:79">
      <c r="A55" s="7"/>
      <c r="B55" s="7"/>
      <c r="C55" s="7"/>
      <c r="D55" s="9"/>
      <c r="E55" s="9"/>
      <c r="F55" s="9"/>
      <c r="G55" s="10"/>
      <c r="H55" s="11"/>
      <c r="I55" s="10"/>
      <c r="J55" s="10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</row>
    <row r="56" spans="1:79">
      <c r="A56" s="7"/>
      <c r="B56" s="7"/>
      <c r="C56" s="7"/>
      <c r="D56" s="9"/>
      <c r="E56" s="9"/>
      <c r="F56" s="9"/>
      <c r="G56" s="10"/>
      <c r="H56" s="11"/>
      <c r="I56" s="10"/>
      <c r="J56" s="10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</row>
    <row r="57" spans="1:79">
      <c r="A57" s="7"/>
      <c r="B57" s="7"/>
      <c r="C57" s="7"/>
      <c r="D57" s="9"/>
      <c r="E57" s="9"/>
      <c r="F57" s="9"/>
      <c r="G57" s="10"/>
      <c r="H57" s="11"/>
      <c r="I57" s="10"/>
      <c r="J57" s="10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</row>
    <row r="58" spans="1:79">
      <c r="A58" s="7"/>
      <c r="B58" s="7"/>
      <c r="C58" s="7"/>
      <c r="D58" s="9"/>
      <c r="E58" s="9"/>
      <c r="F58" s="9"/>
      <c r="G58" s="10"/>
      <c r="H58" s="11"/>
      <c r="I58" s="10"/>
      <c r="J58" s="10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</row>
    <row r="59" spans="1:79">
      <c r="A59" s="7"/>
      <c r="B59" s="7"/>
      <c r="C59" s="7"/>
      <c r="D59" s="9"/>
      <c r="E59" s="9"/>
      <c r="F59" s="9"/>
      <c r="G59" s="10"/>
      <c r="H59" s="11"/>
      <c r="I59" s="10"/>
      <c r="J59" s="10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</row>
    <row r="60" spans="1:79">
      <c r="A60" s="7"/>
      <c r="B60" s="7"/>
      <c r="C60" s="7"/>
      <c r="D60" s="9"/>
      <c r="E60" s="9"/>
      <c r="F60" s="9"/>
      <c r="G60" s="10"/>
      <c r="H60" s="11"/>
      <c r="I60" s="10"/>
      <c r="J60" s="10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</row>
    <row r="61" spans="1:79">
      <c r="A61" s="7"/>
      <c r="B61" s="7"/>
      <c r="C61" s="7"/>
      <c r="D61" s="9"/>
      <c r="E61" s="9"/>
      <c r="F61" s="9"/>
      <c r="G61" s="10"/>
      <c r="H61" s="11"/>
      <c r="I61" s="10"/>
      <c r="J61" s="10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</row>
    <row r="62" spans="1:79">
      <c r="A62" s="7"/>
      <c r="B62" s="7"/>
      <c r="C62" s="7"/>
      <c r="D62" s="9"/>
      <c r="E62" s="9"/>
      <c r="F62" s="9"/>
      <c r="G62" s="10"/>
      <c r="H62" s="11"/>
      <c r="I62" s="10"/>
      <c r="J62" s="10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</row>
    <row r="63" spans="1:79">
      <c r="A63" s="7"/>
      <c r="B63" s="7"/>
      <c r="C63" s="7"/>
      <c r="D63" s="9"/>
      <c r="E63" s="9"/>
      <c r="F63" s="9"/>
      <c r="G63" s="10"/>
      <c r="H63" s="11"/>
      <c r="I63" s="10"/>
      <c r="J63" s="10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</row>
    <row r="64" spans="1:79">
      <c r="A64" s="7"/>
      <c r="B64" s="7"/>
      <c r="C64" s="7"/>
      <c r="D64" s="9"/>
      <c r="E64" s="9"/>
      <c r="F64" s="9"/>
      <c r="G64" s="10"/>
      <c r="H64" s="11"/>
      <c r="I64" s="10"/>
      <c r="J64" s="10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</row>
    <row r="65" spans="1:79">
      <c r="A65" s="7"/>
      <c r="B65" s="7"/>
      <c r="C65" s="7"/>
      <c r="D65" s="9"/>
      <c r="E65" s="9"/>
      <c r="F65" s="9"/>
      <c r="G65" s="10"/>
      <c r="H65" s="11"/>
      <c r="I65" s="10"/>
      <c r="J65" s="10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</row>
    <row r="66" spans="1:79">
      <c r="A66" s="7"/>
      <c r="B66" s="7"/>
      <c r="C66" s="7"/>
      <c r="D66" s="9"/>
      <c r="E66" s="9"/>
      <c r="F66" s="9"/>
      <c r="G66" s="10"/>
      <c r="H66" s="11"/>
      <c r="I66" s="10"/>
      <c r="J66" s="10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</row>
    <row r="67" spans="1:79">
      <c r="A67" s="7"/>
      <c r="B67" s="7"/>
      <c r="C67" s="7"/>
      <c r="D67" s="9"/>
      <c r="E67" s="9"/>
      <c r="F67" s="9"/>
      <c r="G67" s="10"/>
      <c r="H67" s="11"/>
      <c r="I67" s="10"/>
      <c r="J67" s="10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</row>
    <row r="68" spans="1:79">
      <c r="A68" s="7"/>
      <c r="B68" s="7"/>
      <c r="C68" s="7"/>
      <c r="D68" s="9"/>
      <c r="E68" s="9"/>
      <c r="F68" s="9"/>
      <c r="G68" s="10"/>
      <c r="H68" s="11"/>
      <c r="I68" s="10"/>
      <c r="J68" s="10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</row>
    <row r="69" spans="1:79">
      <c r="A69" s="7"/>
      <c r="B69" s="7"/>
      <c r="C69" s="7"/>
      <c r="D69" s="9"/>
      <c r="E69" s="9"/>
      <c r="F69" s="9"/>
      <c r="G69" s="10"/>
      <c r="H69" s="11"/>
      <c r="I69" s="10"/>
      <c r="J69" s="10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</row>
    <row r="70" spans="1:79">
      <c r="A70" s="7"/>
      <c r="B70" s="7"/>
      <c r="C70" s="7"/>
      <c r="D70" s="9"/>
      <c r="E70" s="9"/>
      <c r="F70" s="9"/>
      <c r="G70" s="10"/>
      <c r="H70" s="11"/>
      <c r="I70" s="10"/>
      <c r="J70" s="10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</row>
    <row r="71" spans="1:79">
      <c r="A71" s="7"/>
      <c r="B71" s="7"/>
      <c r="C71" s="7"/>
      <c r="D71" s="9"/>
      <c r="E71" s="9"/>
      <c r="F71" s="9"/>
      <c r="G71" s="10"/>
      <c r="H71" s="11"/>
      <c r="I71" s="10"/>
      <c r="J71" s="10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</row>
    <row r="72" spans="1:79">
      <c r="A72" s="7"/>
      <c r="B72" s="7"/>
      <c r="C72" s="7"/>
      <c r="D72" s="9"/>
      <c r="E72" s="9"/>
      <c r="F72" s="9"/>
      <c r="G72" s="10"/>
      <c r="H72" s="11"/>
      <c r="I72" s="10"/>
      <c r="J72" s="10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</row>
    <row r="73" spans="1:79">
      <c r="A73" s="7"/>
      <c r="B73" s="7"/>
      <c r="C73" s="7"/>
      <c r="D73" s="9"/>
      <c r="E73" s="9"/>
      <c r="F73" s="9"/>
      <c r="G73" s="10"/>
      <c r="H73" s="11"/>
      <c r="I73" s="10"/>
      <c r="J73" s="10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</row>
    <row r="74" spans="1:79">
      <c r="A74" s="7"/>
      <c r="B74" s="7"/>
      <c r="C74" s="7"/>
      <c r="D74" s="9"/>
      <c r="E74" s="9"/>
      <c r="F74" s="9"/>
      <c r="G74" s="10"/>
      <c r="H74" s="11"/>
      <c r="I74" s="10"/>
      <c r="J74" s="10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</row>
    <row r="75" spans="1:79">
      <c r="A75" s="7"/>
      <c r="B75" s="7"/>
      <c r="C75" s="7"/>
      <c r="D75" s="9"/>
      <c r="E75" s="9"/>
      <c r="F75" s="9"/>
      <c r="G75" s="10"/>
      <c r="H75" s="11"/>
      <c r="I75" s="10"/>
      <c r="J75" s="10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</row>
    <row r="76" spans="1:79">
      <c r="A76" s="7"/>
      <c r="B76" s="7"/>
      <c r="C76" s="7"/>
      <c r="D76" s="9"/>
      <c r="E76" s="9"/>
      <c r="F76" s="9"/>
      <c r="G76" s="10"/>
      <c r="H76" s="11"/>
      <c r="I76" s="10"/>
      <c r="J76" s="10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</row>
    <row r="77" spans="1:79">
      <c r="A77" s="7"/>
      <c r="B77" s="7"/>
      <c r="C77" s="7"/>
      <c r="D77" s="9"/>
      <c r="E77" s="9"/>
      <c r="F77" s="9"/>
      <c r="G77" s="10"/>
      <c r="H77" s="11"/>
      <c r="I77" s="10"/>
      <c r="J77" s="10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</row>
    <row r="78" spans="1:79">
      <c r="A78" s="7"/>
      <c r="B78" s="7"/>
      <c r="C78" s="7"/>
      <c r="D78" s="9"/>
      <c r="E78" s="9"/>
      <c r="F78" s="9"/>
      <c r="G78" s="10"/>
      <c r="H78" s="11"/>
      <c r="I78" s="10"/>
      <c r="J78" s="10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</row>
    <row r="79" spans="1:79">
      <c r="A79" s="7"/>
      <c r="B79" s="7"/>
      <c r="C79" s="7"/>
      <c r="D79" s="9"/>
      <c r="E79" s="9"/>
      <c r="F79" s="9"/>
      <c r="G79" s="10"/>
      <c r="H79" s="11"/>
      <c r="I79" s="10"/>
      <c r="J79" s="10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</row>
    <row r="80" spans="1:79">
      <c r="A80" s="7"/>
      <c r="B80" s="7"/>
      <c r="C80" s="7"/>
      <c r="D80" s="9"/>
      <c r="E80" s="9"/>
      <c r="F80" s="9"/>
      <c r="G80" s="10"/>
      <c r="H80" s="11"/>
      <c r="I80" s="10"/>
      <c r="J80" s="10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</row>
    <row r="81" spans="1:79">
      <c r="A81" s="7"/>
      <c r="B81" s="7"/>
      <c r="C81" s="7"/>
      <c r="D81" s="9"/>
      <c r="E81" s="9"/>
      <c r="F81" s="9"/>
      <c r="G81" s="10"/>
      <c r="H81" s="11"/>
      <c r="I81" s="10"/>
      <c r="J81" s="10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</row>
    <row r="82" spans="1:79">
      <c r="A82" s="7"/>
      <c r="B82" s="7"/>
      <c r="C82" s="7"/>
      <c r="D82" s="9"/>
      <c r="E82" s="9"/>
      <c r="F82" s="9"/>
      <c r="G82" s="10"/>
      <c r="H82" s="11"/>
      <c r="I82" s="10"/>
      <c r="J82" s="10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</row>
    <row r="83" spans="1:79">
      <c r="A83" s="7"/>
      <c r="B83" s="7"/>
      <c r="C83" s="7"/>
      <c r="D83" s="9"/>
      <c r="E83" s="9"/>
      <c r="F83" s="9"/>
      <c r="G83" s="10"/>
      <c r="H83" s="11"/>
      <c r="I83" s="10"/>
      <c r="J83" s="10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</row>
    <row r="84" spans="1:79">
      <c r="A84" s="7"/>
      <c r="B84" s="7"/>
      <c r="C84" s="7"/>
      <c r="D84" s="9"/>
      <c r="E84" s="9"/>
      <c r="F84" s="9"/>
      <c r="G84" s="10"/>
      <c r="H84" s="11"/>
      <c r="I84" s="10"/>
      <c r="J84" s="10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</row>
    <row r="85" spans="1:79">
      <c r="A85" s="7"/>
      <c r="B85" s="7"/>
      <c r="C85" s="7"/>
      <c r="D85" s="9"/>
      <c r="E85" s="9"/>
      <c r="F85" s="9"/>
      <c r="G85" s="10"/>
      <c r="H85" s="11"/>
      <c r="I85" s="10"/>
      <c r="J85" s="10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</row>
    <row r="86" spans="1:79">
      <c r="A86" s="7"/>
      <c r="B86" s="7"/>
      <c r="C86" s="7"/>
      <c r="D86" s="9"/>
      <c r="E86" s="9"/>
      <c r="F86" s="9"/>
      <c r="G86" s="10"/>
      <c r="H86" s="11"/>
      <c r="I86" s="10"/>
      <c r="J86" s="10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</row>
    <row r="87" spans="1:79">
      <c r="A87" s="7"/>
      <c r="B87" s="7"/>
      <c r="C87" s="7"/>
      <c r="D87" s="9"/>
      <c r="E87" s="9"/>
      <c r="F87" s="9"/>
      <c r="G87" s="10"/>
      <c r="H87" s="11"/>
      <c r="I87" s="10"/>
      <c r="J87" s="10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</row>
    <row r="88" spans="1:79">
      <c r="A88" s="7"/>
      <c r="B88" s="7"/>
      <c r="C88" s="7"/>
      <c r="D88" s="9"/>
      <c r="E88" s="9"/>
      <c r="F88" s="9"/>
      <c r="G88" s="10"/>
      <c r="H88" s="11"/>
      <c r="I88" s="10"/>
      <c r="J88" s="10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</row>
    <row r="89" spans="1:79">
      <c r="A89" s="7"/>
      <c r="B89" s="7"/>
      <c r="C89" s="7"/>
      <c r="D89" s="9"/>
      <c r="E89" s="9"/>
      <c r="F89" s="9"/>
      <c r="G89" s="10"/>
      <c r="H89" s="11"/>
      <c r="I89" s="10"/>
      <c r="J89" s="10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</row>
    <row r="90" spans="1:79">
      <c r="A90" s="7"/>
      <c r="B90" s="7"/>
      <c r="C90" s="7"/>
      <c r="D90" s="9"/>
      <c r="E90" s="9"/>
      <c r="F90" s="9"/>
      <c r="G90" s="10"/>
      <c r="H90" s="11"/>
      <c r="I90" s="10"/>
      <c r="J90" s="10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</row>
    <row r="91" spans="1:79">
      <c r="A91" s="7"/>
      <c r="B91" s="7"/>
      <c r="C91" s="7"/>
      <c r="D91" s="9"/>
      <c r="E91" s="9"/>
      <c r="F91" s="9"/>
      <c r="G91" s="10"/>
      <c r="H91" s="11"/>
      <c r="I91" s="10"/>
      <c r="J91" s="10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</row>
    <row r="92" spans="1:79">
      <c r="A92" s="7"/>
      <c r="B92" s="7"/>
      <c r="C92" s="7"/>
      <c r="D92" s="9"/>
      <c r="E92" s="9"/>
      <c r="F92" s="9"/>
      <c r="G92" s="10"/>
      <c r="H92" s="11"/>
      <c r="I92" s="10"/>
      <c r="J92" s="10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</row>
    <row r="93" spans="1:79">
      <c r="A93" s="7"/>
      <c r="B93" s="7"/>
      <c r="C93" s="7"/>
      <c r="D93" s="9"/>
      <c r="E93" s="9"/>
      <c r="F93" s="9"/>
      <c r="G93" s="10"/>
      <c r="H93" s="11"/>
      <c r="I93" s="10"/>
      <c r="J93" s="10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</row>
    <row r="94" spans="1:79">
      <c r="A94" s="7"/>
      <c r="B94" s="7"/>
      <c r="C94" s="7"/>
      <c r="D94" s="9"/>
      <c r="E94" s="9"/>
      <c r="F94" s="9"/>
      <c r="G94" s="10"/>
      <c r="H94" s="11"/>
      <c r="I94" s="10"/>
      <c r="J94" s="10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</row>
    <row r="95" spans="1:79">
      <c r="A95" s="7"/>
      <c r="B95" s="7"/>
      <c r="C95" s="7"/>
      <c r="D95" s="9"/>
      <c r="E95" s="9"/>
      <c r="F95" s="9"/>
      <c r="G95" s="10"/>
      <c r="H95" s="11"/>
      <c r="I95" s="10"/>
      <c r="J95" s="10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</row>
    <row r="96" spans="1:79">
      <c r="A96" s="7"/>
      <c r="B96" s="7"/>
      <c r="C96" s="7"/>
      <c r="D96" s="9"/>
      <c r="E96" s="9"/>
      <c r="F96" s="9"/>
      <c r="G96" s="10"/>
      <c r="H96" s="11"/>
      <c r="I96" s="10"/>
      <c r="J96" s="10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</row>
    <row r="97" spans="1:79">
      <c r="A97" s="7"/>
      <c r="B97" s="7"/>
      <c r="C97" s="7"/>
      <c r="D97" s="9"/>
      <c r="E97" s="9"/>
      <c r="F97" s="9"/>
      <c r="G97" s="10"/>
      <c r="H97" s="11"/>
      <c r="I97" s="10"/>
      <c r="J97" s="10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</row>
    <row r="98" spans="1:79">
      <c r="A98" s="7"/>
      <c r="B98" s="7"/>
      <c r="C98" s="7"/>
      <c r="D98" s="9"/>
      <c r="E98" s="9"/>
      <c r="F98" s="9"/>
      <c r="G98" s="10"/>
      <c r="H98" s="11"/>
      <c r="I98" s="10"/>
      <c r="J98" s="10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</row>
    <row r="99" spans="1:79">
      <c r="A99" s="7"/>
      <c r="B99" s="7"/>
      <c r="C99" s="7"/>
      <c r="D99" s="9"/>
      <c r="E99" s="9"/>
      <c r="F99" s="9"/>
      <c r="G99" s="10"/>
      <c r="H99" s="11"/>
      <c r="I99" s="10"/>
      <c r="J99" s="10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</row>
    <row r="100" spans="1:79">
      <c r="A100" s="7"/>
      <c r="B100" s="7"/>
      <c r="C100" s="7"/>
      <c r="D100" s="9"/>
      <c r="E100" s="9"/>
      <c r="F100" s="9"/>
      <c r="G100" s="10"/>
      <c r="H100" s="11"/>
      <c r="I100" s="10"/>
      <c r="J100" s="10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</row>
    <row r="101" spans="1:79">
      <c r="A101" s="7"/>
      <c r="B101" s="7"/>
      <c r="C101" s="7"/>
      <c r="D101" s="9"/>
      <c r="E101" s="9"/>
      <c r="F101" s="9"/>
      <c r="G101" s="10"/>
      <c r="H101" s="11"/>
      <c r="I101" s="10"/>
      <c r="J101" s="10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</row>
    <row r="102" spans="1:79">
      <c r="A102" s="7"/>
      <c r="B102" s="7"/>
      <c r="C102" s="7"/>
      <c r="D102" s="9"/>
      <c r="E102" s="9"/>
      <c r="F102" s="9"/>
      <c r="G102" s="10"/>
      <c r="H102" s="11"/>
      <c r="I102" s="10"/>
      <c r="J102" s="10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</row>
    <row r="103" spans="1:79">
      <c r="A103" s="7"/>
      <c r="B103" s="7"/>
      <c r="C103" s="7"/>
      <c r="D103" s="9"/>
      <c r="E103" s="9"/>
      <c r="F103" s="9"/>
      <c r="G103" s="10"/>
      <c r="H103" s="11"/>
      <c r="I103" s="10"/>
      <c r="J103" s="10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</row>
    <row r="104" spans="1:79">
      <c r="A104" s="7"/>
      <c r="B104" s="7"/>
      <c r="C104" s="7"/>
      <c r="D104" s="9"/>
      <c r="E104" s="9"/>
      <c r="F104" s="9"/>
      <c r="G104" s="10"/>
      <c r="H104" s="11"/>
      <c r="I104" s="10"/>
      <c r="J104" s="10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</row>
    <row r="105" spans="1:79">
      <c r="A105" s="7"/>
      <c r="B105" s="7"/>
      <c r="C105" s="7"/>
      <c r="D105" s="9"/>
      <c r="E105" s="9"/>
      <c r="F105" s="9"/>
      <c r="G105" s="10"/>
      <c r="H105" s="11"/>
      <c r="I105" s="10"/>
      <c r="J105" s="10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</row>
    <row r="106" spans="1:79">
      <c r="A106" s="7"/>
      <c r="B106" s="7"/>
      <c r="C106" s="7"/>
      <c r="D106" s="9"/>
      <c r="E106" s="9"/>
      <c r="F106" s="9"/>
      <c r="G106" s="10"/>
      <c r="H106" s="11"/>
      <c r="I106" s="10"/>
      <c r="J106" s="10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</row>
    <row r="107" spans="1:79">
      <c r="A107" s="7"/>
      <c r="B107" s="7"/>
      <c r="C107" s="7"/>
      <c r="D107" s="9"/>
      <c r="E107" s="9"/>
      <c r="F107" s="9"/>
      <c r="G107" s="10"/>
      <c r="H107" s="11"/>
      <c r="I107" s="10"/>
      <c r="J107" s="10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</row>
    <row r="108" spans="1:79">
      <c r="A108" s="7"/>
      <c r="B108" s="7"/>
      <c r="C108" s="7"/>
      <c r="D108" s="9"/>
      <c r="E108" s="9"/>
      <c r="F108" s="9"/>
      <c r="G108" s="10"/>
      <c r="H108" s="11"/>
      <c r="I108" s="10"/>
      <c r="J108" s="10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</row>
    <row r="109" spans="1:79">
      <c r="A109" s="7"/>
      <c r="B109" s="7"/>
      <c r="C109" s="7"/>
      <c r="D109" s="9"/>
      <c r="E109" s="9"/>
      <c r="F109" s="9"/>
      <c r="G109" s="10"/>
      <c r="H109" s="11"/>
      <c r="I109" s="10"/>
      <c r="J109" s="10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</row>
    <row r="110" spans="1:79">
      <c r="A110" s="7"/>
      <c r="B110" s="7"/>
      <c r="C110" s="7"/>
      <c r="D110" s="9"/>
      <c r="E110" s="9"/>
      <c r="F110" s="9"/>
      <c r="G110" s="10"/>
      <c r="H110" s="11"/>
      <c r="I110" s="10"/>
      <c r="J110" s="10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</row>
    <row r="111" spans="1:79">
      <c r="A111" s="7"/>
      <c r="B111" s="7"/>
      <c r="C111" s="7"/>
      <c r="D111" s="9"/>
      <c r="E111" s="9"/>
      <c r="F111" s="9"/>
      <c r="G111" s="10"/>
      <c r="H111" s="11"/>
      <c r="I111" s="10"/>
      <c r="J111" s="10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</row>
    <row r="112" spans="1:79">
      <c r="A112" s="7"/>
      <c r="B112" s="7"/>
      <c r="C112" s="7"/>
      <c r="D112" s="9"/>
      <c r="E112" s="9"/>
      <c r="F112" s="9"/>
      <c r="G112" s="10"/>
      <c r="H112" s="11"/>
      <c r="I112" s="10"/>
      <c r="J112" s="10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</row>
    <row r="113" spans="1:79">
      <c r="A113" s="7"/>
      <c r="B113" s="7"/>
      <c r="C113" s="7"/>
      <c r="D113" s="9"/>
      <c r="E113" s="9"/>
      <c r="F113" s="9"/>
      <c r="G113" s="10"/>
      <c r="H113" s="11"/>
      <c r="I113" s="10"/>
      <c r="J113" s="10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</row>
    <row r="114" spans="1:79">
      <c r="A114" s="7"/>
      <c r="B114" s="7"/>
      <c r="C114" s="7"/>
      <c r="D114" s="9"/>
      <c r="E114" s="9"/>
      <c r="F114" s="9"/>
      <c r="G114" s="10"/>
      <c r="H114" s="11"/>
      <c r="I114" s="10"/>
      <c r="J114" s="10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</row>
    <row r="115" spans="1:79">
      <c r="A115" s="7"/>
      <c r="B115" s="7"/>
      <c r="C115" s="7"/>
      <c r="D115" s="9"/>
      <c r="E115" s="9"/>
      <c r="F115" s="9"/>
      <c r="G115" s="10"/>
      <c r="H115" s="11"/>
      <c r="I115" s="10"/>
      <c r="J115" s="10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</row>
    <row r="116" spans="1:79">
      <c r="A116" s="7"/>
      <c r="B116" s="7"/>
      <c r="C116" s="7"/>
      <c r="D116" s="9"/>
      <c r="E116" s="9"/>
      <c r="F116" s="9"/>
      <c r="G116" s="10"/>
      <c r="H116" s="11"/>
      <c r="I116" s="10"/>
      <c r="J116" s="10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</row>
    <row r="117" spans="1:79">
      <c r="A117" s="7"/>
      <c r="B117" s="7"/>
      <c r="C117" s="7"/>
      <c r="D117" s="9"/>
      <c r="E117" s="9"/>
      <c r="F117" s="9"/>
      <c r="G117" s="10"/>
      <c r="H117" s="11"/>
      <c r="I117" s="10"/>
      <c r="J117" s="10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</row>
    <row r="118" spans="1:79">
      <c r="A118" s="7"/>
      <c r="B118" s="7"/>
      <c r="C118" s="7"/>
      <c r="D118" s="9"/>
      <c r="E118" s="9"/>
      <c r="F118" s="9"/>
      <c r="G118" s="10"/>
      <c r="H118" s="11"/>
      <c r="I118" s="10"/>
      <c r="J118" s="10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</row>
    <row r="119" spans="1:79">
      <c r="A119" s="7"/>
      <c r="B119" s="7"/>
      <c r="C119" s="7"/>
      <c r="D119" s="9"/>
      <c r="E119" s="9"/>
      <c r="F119" s="9"/>
      <c r="G119" s="10"/>
      <c r="H119" s="11"/>
      <c r="I119" s="10"/>
      <c r="J119" s="10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</row>
    <row r="120" spans="1:79">
      <c r="A120" s="7"/>
      <c r="B120" s="7"/>
      <c r="C120" s="7"/>
      <c r="D120" s="9"/>
      <c r="E120" s="9"/>
      <c r="F120" s="9"/>
      <c r="G120" s="10"/>
      <c r="H120" s="11"/>
      <c r="I120" s="10"/>
      <c r="J120" s="10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</row>
    <row r="121" spans="1:79">
      <c r="A121" s="7"/>
      <c r="B121" s="7"/>
      <c r="C121" s="7"/>
      <c r="D121" s="9"/>
      <c r="E121" s="9"/>
      <c r="F121" s="9"/>
      <c r="G121" s="10"/>
      <c r="H121" s="11"/>
      <c r="I121" s="10"/>
      <c r="J121" s="10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</row>
    <row r="122" spans="1:79">
      <c r="A122" s="7"/>
      <c r="B122" s="7"/>
      <c r="C122" s="7"/>
      <c r="D122" s="9"/>
      <c r="E122" s="9"/>
      <c r="F122" s="9"/>
      <c r="G122" s="10"/>
      <c r="H122" s="11"/>
      <c r="I122" s="10"/>
      <c r="J122" s="10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</row>
    <row r="123" spans="1:79">
      <c r="A123" s="7"/>
      <c r="B123" s="7"/>
      <c r="C123" s="7"/>
      <c r="D123" s="9"/>
      <c r="E123" s="9"/>
      <c r="F123" s="9"/>
      <c r="G123" s="10"/>
      <c r="H123" s="11"/>
      <c r="I123" s="10"/>
      <c r="J123" s="10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</row>
    <row r="124" spans="1:79">
      <c r="A124" s="7"/>
      <c r="B124" s="7"/>
      <c r="C124" s="7"/>
      <c r="D124" s="9"/>
      <c r="E124" s="9"/>
      <c r="F124" s="9"/>
      <c r="G124" s="10"/>
      <c r="H124" s="11"/>
      <c r="I124" s="10"/>
      <c r="J124" s="10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</row>
    <row r="125" spans="1:79">
      <c r="A125" s="7"/>
      <c r="B125" s="7"/>
      <c r="C125" s="7"/>
      <c r="D125" s="9"/>
      <c r="E125" s="9"/>
      <c r="F125" s="9"/>
      <c r="G125" s="10"/>
      <c r="H125" s="11"/>
      <c r="I125" s="10"/>
      <c r="J125" s="10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</row>
    <row r="126" spans="1:79">
      <c r="A126" s="7"/>
      <c r="B126" s="7"/>
      <c r="C126" s="7"/>
      <c r="D126" s="9"/>
      <c r="E126" s="9"/>
      <c r="F126" s="9"/>
      <c r="G126" s="10"/>
      <c r="H126" s="11"/>
      <c r="I126" s="10"/>
      <c r="J126" s="10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</row>
    <row r="127" spans="1:79">
      <c r="A127" s="7"/>
      <c r="B127" s="7"/>
      <c r="C127" s="7"/>
      <c r="D127" s="9"/>
      <c r="E127" s="9"/>
      <c r="F127" s="9"/>
      <c r="G127" s="10"/>
      <c r="H127" s="11"/>
      <c r="I127" s="10"/>
      <c r="J127" s="10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</row>
    <row r="128" spans="1:79">
      <c r="A128" s="7"/>
      <c r="B128" s="7"/>
      <c r="C128" s="7"/>
      <c r="D128" s="9"/>
      <c r="E128" s="9"/>
      <c r="F128" s="9"/>
      <c r="G128" s="10"/>
      <c r="H128" s="11"/>
      <c r="I128" s="10"/>
      <c r="J128" s="10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</row>
    <row r="129" spans="1:79">
      <c r="A129" s="7"/>
      <c r="B129" s="7"/>
      <c r="C129" s="7"/>
      <c r="D129" s="9"/>
      <c r="E129" s="9"/>
      <c r="F129" s="9"/>
      <c r="G129" s="10"/>
      <c r="H129" s="11"/>
      <c r="I129" s="10"/>
      <c r="J129" s="10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</row>
    <row r="130" spans="1:79">
      <c r="A130" s="7"/>
      <c r="B130" s="7"/>
      <c r="C130" s="7"/>
      <c r="D130" s="9"/>
      <c r="E130" s="9"/>
      <c r="F130" s="9"/>
      <c r="G130" s="10"/>
      <c r="H130" s="11"/>
      <c r="I130" s="10"/>
      <c r="J130" s="10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</row>
    <row r="131" spans="1:79">
      <c r="A131" s="7"/>
      <c r="B131" s="7"/>
      <c r="C131" s="7"/>
      <c r="D131" s="9"/>
      <c r="E131" s="9"/>
      <c r="F131" s="9"/>
      <c r="G131" s="10"/>
      <c r="H131" s="11"/>
      <c r="I131" s="10"/>
      <c r="J131" s="10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</row>
    <row r="132" spans="1:79">
      <c r="A132" s="7"/>
      <c r="B132" s="7"/>
      <c r="C132" s="7"/>
      <c r="D132" s="9"/>
      <c r="E132" s="9"/>
      <c r="F132" s="9"/>
      <c r="G132" s="10"/>
      <c r="H132" s="11"/>
      <c r="I132" s="10"/>
      <c r="J132" s="10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</row>
    <row r="133" spans="1:79">
      <c r="A133" s="7"/>
      <c r="B133" s="7"/>
      <c r="C133" s="7"/>
      <c r="D133" s="9"/>
      <c r="E133" s="9"/>
      <c r="F133" s="9"/>
      <c r="G133" s="10"/>
      <c r="H133" s="11"/>
      <c r="I133" s="10"/>
      <c r="J133" s="10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</row>
    <row r="134" spans="1:79">
      <c r="A134" s="7"/>
      <c r="B134" s="7"/>
      <c r="C134" s="7"/>
      <c r="D134" s="9"/>
      <c r="E134" s="9"/>
      <c r="F134" s="9"/>
      <c r="G134" s="10"/>
      <c r="H134" s="11"/>
      <c r="I134" s="10"/>
      <c r="J134" s="10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</row>
    <row r="135" spans="1:79">
      <c r="A135" s="7"/>
      <c r="B135" s="7"/>
      <c r="C135" s="7"/>
      <c r="D135" s="9"/>
      <c r="E135" s="9"/>
      <c r="F135" s="9"/>
      <c r="G135" s="10"/>
      <c r="H135" s="11"/>
      <c r="I135" s="10"/>
      <c r="J135" s="10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</row>
    <row r="136" spans="1:79">
      <c r="A136" s="7"/>
      <c r="B136" s="7"/>
      <c r="C136" s="7"/>
      <c r="D136" s="9"/>
      <c r="E136" s="9"/>
      <c r="F136" s="9"/>
      <c r="G136" s="10"/>
      <c r="H136" s="11"/>
      <c r="I136" s="10"/>
      <c r="J136" s="10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</row>
    <row r="137" spans="1:79">
      <c r="A137" s="7"/>
      <c r="B137" s="7"/>
      <c r="C137" s="7"/>
      <c r="D137" s="9"/>
      <c r="E137" s="9"/>
      <c r="F137" s="9"/>
      <c r="G137" s="10"/>
      <c r="H137" s="11"/>
      <c r="I137" s="10"/>
      <c r="J137" s="10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</row>
    <row r="138" spans="1:79">
      <c r="A138" s="7"/>
      <c r="B138" s="7"/>
      <c r="C138" s="7"/>
      <c r="D138" s="9"/>
      <c r="E138" s="9"/>
      <c r="F138" s="9"/>
      <c r="G138" s="10"/>
      <c r="H138" s="11"/>
      <c r="I138" s="10"/>
      <c r="J138" s="10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</row>
    <row r="139" spans="1:79">
      <c r="A139" s="7"/>
      <c r="B139" s="7"/>
      <c r="C139" s="7"/>
      <c r="D139" s="9"/>
      <c r="E139" s="9"/>
      <c r="F139" s="9"/>
      <c r="G139" s="10"/>
      <c r="H139" s="11"/>
      <c r="I139" s="10"/>
      <c r="J139" s="10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</row>
    <row r="140" spans="1:79">
      <c r="A140" s="7"/>
      <c r="B140" s="7"/>
      <c r="C140" s="7"/>
      <c r="D140" s="9"/>
      <c r="E140" s="9"/>
      <c r="F140" s="9"/>
      <c r="G140" s="10"/>
      <c r="H140" s="11"/>
      <c r="I140" s="10"/>
      <c r="J140" s="10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</row>
    <row r="141" spans="1:79">
      <c r="A141" s="7"/>
      <c r="B141" s="7"/>
      <c r="C141" s="7"/>
      <c r="D141" s="9"/>
      <c r="E141" s="9"/>
      <c r="F141" s="9"/>
      <c r="G141" s="10"/>
      <c r="H141" s="11"/>
      <c r="I141" s="10"/>
      <c r="J141" s="10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</row>
    <row r="142" spans="1:79">
      <c r="A142" s="7"/>
      <c r="B142" s="7"/>
      <c r="C142" s="7"/>
      <c r="D142" s="9"/>
      <c r="E142" s="9"/>
      <c r="F142" s="9"/>
      <c r="G142" s="10"/>
      <c r="H142" s="11"/>
      <c r="I142" s="10"/>
      <c r="J142" s="10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</row>
    <row r="143" spans="1:79">
      <c r="A143" s="7"/>
      <c r="B143" s="7"/>
      <c r="C143" s="7"/>
      <c r="D143" s="9"/>
      <c r="E143" s="9"/>
      <c r="F143" s="9"/>
      <c r="G143" s="10"/>
      <c r="H143" s="11"/>
      <c r="I143" s="10"/>
      <c r="J143" s="10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</row>
    <row r="144" spans="1:79">
      <c r="A144" s="7"/>
      <c r="B144" s="7"/>
      <c r="C144" s="7"/>
      <c r="D144" s="9"/>
      <c r="E144" s="9"/>
      <c r="F144" s="9"/>
      <c r="G144" s="10"/>
      <c r="H144" s="11"/>
      <c r="I144" s="10"/>
      <c r="J144" s="10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</row>
    <row r="145" spans="1:79">
      <c r="A145" s="7"/>
      <c r="B145" s="7"/>
      <c r="C145" s="7"/>
      <c r="D145" s="9"/>
      <c r="E145" s="9"/>
      <c r="F145" s="9"/>
      <c r="G145" s="10"/>
      <c r="H145" s="11"/>
      <c r="I145" s="10"/>
      <c r="J145" s="10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</row>
    <row r="146" spans="1:79">
      <c r="A146" s="7"/>
      <c r="B146" s="7"/>
      <c r="C146" s="7"/>
      <c r="D146" s="9"/>
      <c r="E146" s="9"/>
      <c r="F146" s="9"/>
      <c r="G146" s="10"/>
      <c r="H146" s="11"/>
      <c r="I146" s="10"/>
      <c r="J146" s="10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</row>
    <row r="147" spans="1:79">
      <c r="A147" s="7"/>
      <c r="B147" s="7"/>
      <c r="C147" s="7"/>
      <c r="D147" s="9"/>
      <c r="E147" s="9"/>
      <c r="F147" s="9"/>
      <c r="G147" s="10"/>
      <c r="H147" s="11"/>
      <c r="I147" s="10"/>
      <c r="J147" s="10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</row>
    <row r="148" spans="1:79">
      <c r="A148" s="7"/>
      <c r="B148" s="7"/>
      <c r="C148" s="7"/>
      <c r="D148" s="9"/>
      <c r="E148" s="9"/>
      <c r="F148" s="9"/>
      <c r="G148" s="10"/>
      <c r="H148" s="11"/>
      <c r="I148" s="10"/>
      <c r="J148" s="10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</row>
    <row r="149" spans="1:79">
      <c r="A149" s="7"/>
      <c r="B149" s="7"/>
      <c r="C149" s="7"/>
      <c r="D149" s="9"/>
      <c r="E149" s="9"/>
      <c r="F149" s="9"/>
      <c r="G149" s="10"/>
      <c r="H149" s="11"/>
      <c r="I149" s="10"/>
      <c r="J149" s="10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</row>
    <row r="150" spans="1:79">
      <c r="A150" s="7"/>
      <c r="B150" s="7"/>
      <c r="C150" s="7"/>
      <c r="D150" s="9"/>
      <c r="E150" s="9"/>
      <c r="F150" s="9"/>
      <c r="G150" s="10"/>
      <c r="H150" s="11"/>
      <c r="I150" s="10"/>
      <c r="J150" s="10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</row>
    <row r="151" spans="1:79">
      <c r="A151" s="7"/>
      <c r="B151" s="7"/>
      <c r="C151" s="7"/>
      <c r="D151" s="9"/>
      <c r="E151" s="9"/>
      <c r="F151" s="9"/>
      <c r="G151" s="10"/>
      <c r="H151" s="11"/>
      <c r="I151" s="10"/>
      <c r="J151" s="10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</row>
    <row r="152" spans="1:79">
      <c r="A152" s="7"/>
      <c r="B152" s="7"/>
      <c r="C152" s="7"/>
      <c r="D152" s="9"/>
      <c r="E152" s="9"/>
      <c r="F152" s="9"/>
      <c r="G152" s="10"/>
      <c r="H152" s="11"/>
      <c r="I152" s="10"/>
      <c r="J152" s="10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</row>
    <row r="153" spans="1:79">
      <c r="A153" s="7"/>
      <c r="B153" s="7"/>
      <c r="C153" s="7"/>
      <c r="D153" s="9"/>
      <c r="E153" s="9"/>
      <c r="F153" s="9"/>
      <c r="G153" s="10"/>
      <c r="H153" s="11"/>
      <c r="I153" s="10"/>
      <c r="J153" s="10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</row>
    <row r="154" spans="1:79">
      <c r="A154" s="7"/>
      <c r="B154" s="7"/>
      <c r="C154" s="7"/>
      <c r="D154" s="9"/>
      <c r="E154" s="9"/>
      <c r="F154" s="9"/>
      <c r="G154" s="10"/>
      <c r="H154" s="11"/>
      <c r="I154" s="10"/>
      <c r="J154" s="10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</row>
    <row r="155" spans="1:79">
      <c r="A155" s="7"/>
      <c r="B155" s="7"/>
      <c r="C155" s="7"/>
      <c r="D155" s="9"/>
      <c r="E155" s="9"/>
      <c r="F155" s="9"/>
      <c r="G155" s="10"/>
      <c r="H155" s="11"/>
      <c r="I155" s="10"/>
      <c r="J155" s="10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</row>
    <row r="156" spans="1:79">
      <c r="A156" s="7"/>
      <c r="B156" s="7"/>
      <c r="C156" s="7"/>
      <c r="D156" s="9"/>
      <c r="E156" s="9"/>
      <c r="F156" s="9"/>
      <c r="G156" s="10"/>
      <c r="H156" s="11"/>
      <c r="I156" s="10"/>
      <c r="J156" s="10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</row>
    <row r="157" spans="1:79">
      <c r="A157" s="7"/>
      <c r="B157" s="7"/>
      <c r="C157" s="7"/>
      <c r="D157" s="9"/>
      <c r="E157" s="9"/>
      <c r="F157" s="9"/>
      <c r="G157" s="10"/>
      <c r="H157" s="11"/>
      <c r="I157" s="10"/>
      <c r="J157" s="10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</row>
    <row r="158" spans="1:79">
      <c r="A158" s="7"/>
      <c r="B158" s="7"/>
      <c r="C158" s="7"/>
      <c r="D158" s="9"/>
      <c r="E158" s="9"/>
      <c r="F158" s="9"/>
      <c r="G158" s="10"/>
      <c r="H158" s="11"/>
      <c r="I158" s="10"/>
      <c r="J158" s="10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</row>
    <row r="159" spans="1:79">
      <c r="A159" s="7"/>
      <c r="B159" s="7"/>
      <c r="C159" s="7"/>
      <c r="D159" s="9"/>
      <c r="E159" s="9"/>
      <c r="F159" s="9"/>
      <c r="G159" s="10"/>
      <c r="H159" s="11"/>
      <c r="I159" s="10"/>
      <c r="J159" s="10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</row>
    <row r="160" spans="1:79">
      <c r="A160" s="7"/>
      <c r="B160" s="7"/>
      <c r="C160" s="7"/>
      <c r="D160" s="9"/>
      <c r="E160" s="9"/>
      <c r="F160" s="9"/>
      <c r="G160" s="10"/>
      <c r="H160" s="11"/>
      <c r="I160" s="10"/>
      <c r="J160" s="10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</row>
    <row r="161" spans="1:79">
      <c r="A161" s="7"/>
      <c r="B161" s="7"/>
      <c r="C161" s="7"/>
      <c r="D161" s="9"/>
      <c r="E161" s="9"/>
      <c r="F161" s="9"/>
      <c r="G161" s="10"/>
      <c r="H161" s="11"/>
      <c r="I161" s="10"/>
      <c r="J161" s="10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</row>
    <row r="162" spans="1:79">
      <c r="A162" s="7"/>
      <c r="B162" s="7"/>
      <c r="C162" s="7"/>
      <c r="D162" s="9"/>
      <c r="E162" s="9"/>
      <c r="F162" s="9"/>
      <c r="G162" s="10"/>
      <c r="H162" s="11"/>
      <c r="I162" s="10"/>
      <c r="J162" s="10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</row>
    <row r="163" spans="1:79">
      <c r="A163" s="7"/>
      <c r="B163" s="7"/>
      <c r="C163" s="7"/>
      <c r="D163" s="9"/>
      <c r="E163" s="9"/>
      <c r="F163" s="9"/>
      <c r="G163" s="10"/>
      <c r="H163" s="11"/>
      <c r="I163" s="10"/>
      <c r="J163" s="10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</row>
    <row r="164" spans="1:79">
      <c r="A164" s="7"/>
      <c r="B164" s="7"/>
      <c r="C164" s="7"/>
      <c r="D164" s="9"/>
      <c r="E164" s="9"/>
      <c r="F164" s="9"/>
      <c r="G164" s="10"/>
      <c r="H164" s="11"/>
      <c r="I164" s="10"/>
      <c r="J164" s="10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</row>
    <row r="165" spans="1:79">
      <c r="A165" s="7"/>
      <c r="B165" s="7"/>
      <c r="C165" s="7"/>
      <c r="D165" s="9"/>
      <c r="E165" s="9"/>
      <c r="F165" s="9"/>
      <c r="G165" s="10"/>
      <c r="H165" s="11"/>
      <c r="I165" s="10"/>
      <c r="J165" s="10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</row>
    <row r="166" spans="1:79">
      <c r="A166" s="7"/>
      <c r="B166" s="7"/>
      <c r="C166" s="7"/>
      <c r="D166" s="9"/>
      <c r="E166" s="9"/>
      <c r="F166" s="9"/>
      <c r="G166" s="10"/>
      <c r="H166" s="11"/>
      <c r="I166" s="10"/>
      <c r="J166" s="10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</row>
    <row r="167" spans="1:79">
      <c r="A167" s="7"/>
      <c r="B167" s="7"/>
      <c r="C167" s="7"/>
      <c r="D167" s="9"/>
      <c r="E167" s="9"/>
      <c r="F167" s="9"/>
      <c r="G167" s="10"/>
      <c r="H167" s="11"/>
      <c r="I167" s="10"/>
      <c r="J167" s="10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</row>
    <row r="168" spans="1:79">
      <c r="A168" s="7"/>
      <c r="B168" s="7"/>
      <c r="C168" s="7"/>
      <c r="D168" s="9"/>
      <c r="E168" s="9"/>
      <c r="F168" s="9"/>
      <c r="G168" s="10"/>
      <c r="H168" s="11"/>
      <c r="I168" s="10"/>
      <c r="J168" s="10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</row>
    <row r="169" spans="1:79">
      <c r="A169" s="7"/>
      <c r="B169" s="7"/>
      <c r="C169" s="7"/>
      <c r="D169" s="9"/>
      <c r="E169" s="9"/>
      <c r="F169" s="9"/>
      <c r="G169" s="10"/>
      <c r="H169" s="11"/>
      <c r="I169" s="10"/>
      <c r="J169" s="10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</row>
    <row r="170" spans="1:79">
      <c r="A170" s="7"/>
      <c r="B170" s="7"/>
      <c r="C170" s="7"/>
      <c r="D170" s="9"/>
      <c r="E170" s="9"/>
      <c r="F170" s="9"/>
      <c r="G170" s="10"/>
      <c r="H170" s="11"/>
      <c r="I170" s="10"/>
      <c r="J170" s="10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</row>
    <row r="171" spans="1:79">
      <c r="A171" s="7"/>
      <c r="B171" s="7"/>
      <c r="C171" s="7"/>
      <c r="D171" s="9"/>
      <c r="E171" s="9"/>
      <c r="F171" s="9"/>
      <c r="G171" s="10"/>
      <c r="H171" s="11"/>
      <c r="I171" s="10"/>
      <c r="J171" s="10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</row>
    <row r="172" spans="1:79">
      <c r="A172" s="7"/>
      <c r="B172" s="7"/>
      <c r="C172" s="7"/>
      <c r="D172" s="9"/>
      <c r="E172" s="9"/>
      <c r="F172" s="9"/>
      <c r="G172" s="10"/>
      <c r="H172" s="11"/>
      <c r="I172" s="10"/>
      <c r="J172" s="10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</row>
    <row r="173" spans="1:79">
      <c r="A173" s="7"/>
      <c r="B173" s="7"/>
      <c r="C173" s="7"/>
      <c r="D173" s="9"/>
      <c r="E173" s="9"/>
      <c r="F173" s="9"/>
      <c r="G173" s="10"/>
      <c r="H173" s="11"/>
      <c r="I173" s="10"/>
      <c r="J173" s="10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</row>
    <row r="174" spans="1:79">
      <c r="A174" s="7"/>
      <c r="B174" s="7"/>
      <c r="C174" s="7"/>
      <c r="D174" s="9"/>
      <c r="E174" s="9"/>
      <c r="F174" s="9"/>
      <c r="G174" s="10"/>
      <c r="H174" s="11"/>
      <c r="I174" s="10"/>
      <c r="J174" s="10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</row>
    <row r="175" spans="1:79">
      <c r="A175" s="7"/>
      <c r="B175" s="7"/>
      <c r="C175" s="7"/>
      <c r="D175" s="9"/>
      <c r="E175" s="9"/>
      <c r="F175" s="9"/>
      <c r="G175" s="10"/>
      <c r="H175" s="11"/>
      <c r="I175" s="10"/>
      <c r="J175" s="10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</row>
    <row r="176" spans="1:79">
      <c r="A176" s="7"/>
      <c r="B176" s="7"/>
      <c r="C176" s="7"/>
      <c r="D176" s="9"/>
      <c r="E176" s="9"/>
      <c r="F176" s="9"/>
      <c r="G176" s="10"/>
      <c r="H176" s="11"/>
      <c r="I176" s="10"/>
      <c r="J176" s="10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</row>
    <row r="177" spans="1:79">
      <c r="A177" s="7"/>
      <c r="B177" s="7"/>
      <c r="C177" s="7"/>
      <c r="D177" s="9"/>
      <c r="E177" s="9"/>
      <c r="F177" s="9"/>
      <c r="G177" s="10"/>
      <c r="H177" s="11"/>
      <c r="I177" s="10"/>
      <c r="J177" s="10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</row>
    <row r="178" spans="1:79">
      <c r="A178" s="7"/>
      <c r="B178" s="7"/>
      <c r="C178" s="7"/>
      <c r="D178" s="9"/>
      <c r="E178" s="9"/>
      <c r="F178" s="9"/>
      <c r="G178" s="10"/>
      <c r="H178" s="11"/>
      <c r="I178" s="10"/>
      <c r="J178" s="10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</row>
    <row r="179" spans="1:79">
      <c r="A179" s="7"/>
      <c r="B179" s="7"/>
      <c r="C179" s="7"/>
      <c r="D179" s="9"/>
      <c r="E179" s="9"/>
      <c r="F179" s="9"/>
      <c r="G179" s="10"/>
      <c r="H179" s="11"/>
      <c r="I179" s="10"/>
      <c r="J179" s="10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</row>
    <row r="180" spans="1:79">
      <c r="A180" s="7"/>
      <c r="B180" s="7"/>
      <c r="C180" s="7"/>
      <c r="D180" s="9"/>
      <c r="E180" s="9"/>
      <c r="F180" s="9"/>
      <c r="G180" s="10"/>
      <c r="H180" s="11"/>
      <c r="I180" s="10"/>
      <c r="J180" s="10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</row>
    <row r="181" spans="1:79">
      <c r="A181" s="7"/>
      <c r="B181" s="7"/>
      <c r="C181" s="7"/>
      <c r="D181" s="9"/>
      <c r="E181" s="9"/>
      <c r="F181" s="9"/>
      <c r="G181" s="10"/>
      <c r="H181" s="11"/>
      <c r="I181" s="10"/>
      <c r="J181" s="10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</row>
    <row r="182" spans="1:79">
      <c r="A182" s="7"/>
      <c r="B182" s="7"/>
      <c r="C182" s="7"/>
      <c r="D182" s="9"/>
      <c r="E182" s="9"/>
      <c r="F182" s="9"/>
      <c r="G182" s="10"/>
      <c r="H182" s="11"/>
      <c r="I182" s="10"/>
      <c r="J182" s="10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</row>
    <row r="183" spans="1:79">
      <c r="A183" s="7"/>
      <c r="B183" s="7"/>
      <c r="C183" s="7"/>
      <c r="D183" s="9"/>
      <c r="E183" s="9"/>
      <c r="F183" s="9"/>
      <c r="G183" s="10"/>
      <c r="H183" s="11"/>
      <c r="I183" s="10"/>
      <c r="J183" s="10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</row>
    <row r="184" spans="1:79">
      <c r="A184" s="7"/>
      <c r="B184" s="7"/>
      <c r="C184" s="7"/>
      <c r="D184" s="9"/>
      <c r="E184" s="9"/>
      <c r="F184" s="9"/>
      <c r="G184" s="10"/>
      <c r="H184" s="11"/>
      <c r="I184" s="10"/>
      <c r="J184" s="10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</row>
    <row r="185" spans="1:79">
      <c r="A185" s="7"/>
      <c r="B185" s="7"/>
      <c r="C185" s="7"/>
      <c r="D185" s="9"/>
      <c r="E185" s="9"/>
      <c r="F185" s="9"/>
      <c r="G185" s="10"/>
      <c r="H185" s="11"/>
      <c r="I185" s="10"/>
      <c r="J185" s="10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</row>
    <row r="186" spans="1:79">
      <c r="A186" s="7"/>
      <c r="B186" s="7"/>
      <c r="C186" s="7"/>
      <c r="D186" s="9"/>
      <c r="E186" s="9"/>
      <c r="F186" s="9"/>
      <c r="G186" s="10"/>
      <c r="H186" s="11"/>
      <c r="I186" s="10"/>
      <c r="J186" s="10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</row>
    <row r="187" spans="1:79">
      <c r="A187" s="7"/>
      <c r="B187" s="7"/>
      <c r="C187" s="7"/>
      <c r="D187" s="9"/>
      <c r="E187" s="9"/>
      <c r="F187" s="9"/>
      <c r="G187" s="10"/>
      <c r="H187" s="11"/>
      <c r="I187" s="10"/>
      <c r="J187" s="10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</row>
    <row r="188" spans="1:79">
      <c r="A188" s="7"/>
      <c r="B188" s="7"/>
      <c r="C188" s="7"/>
      <c r="D188" s="9"/>
      <c r="E188" s="9"/>
      <c r="F188" s="9"/>
      <c r="G188" s="10"/>
      <c r="H188" s="11"/>
      <c r="I188" s="10"/>
      <c r="J188" s="10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</row>
    <row r="189" spans="1:79">
      <c r="A189" s="7"/>
      <c r="B189" s="7"/>
      <c r="C189" s="7"/>
      <c r="D189" s="9"/>
      <c r="E189" s="9"/>
      <c r="F189" s="9"/>
      <c r="G189" s="10"/>
      <c r="H189" s="11"/>
      <c r="I189" s="10"/>
      <c r="J189" s="10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</row>
    <row r="190" spans="1:79">
      <c r="A190" s="7"/>
      <c r="B190" s="7"/>
      <c r="C190" s="7"/>
      <c r="D190" s="9"/>
      <c r="E190" s="9"/>
      <c r="F190" s="9"/>
      <c r="G190" s="10"/>
      <c r="H190" s="11"/>
      <c r="I190" s="10"/>
      <c r="J190" s="10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</row>
    <row r="191" spans="1:79">
      <c r="A191" s="7"/>
      <c r="B191" s="7"/>
      <c r="C191" s="7"/>
      <c r="D191" s="9"/>
      <c r="E191" s="9"/>
      <c r="F191" s="9"/>
      <c r="G191" s="10"/>
      <c r="H191" s="11"/>
      <c r="I191" s="10"/>
      <c r="J191" s="10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</row>
    <row r="192" spans="1:79">
      <c r="A192" s="7"/>
      <c r="B192" s="7"/>
      <c r="C192" s="7"/>
      <c r="D192" s="9"/>
      <c r="E192" s="9"/>
      <c r="F192" s="9"/>
      <c r="G192" s="10"/>
      <c r="H192" s="11"/>
      <c r="I192" s="10"/>
      <c r="J192" s="10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</row>
    <row r="193" spans="1:79">
      <c r="A193" s="7"/>
      <c r="B193" s="7"/>
      <c r="C193" s="7"/>
      <c r="D193" s="9"/>
      <c r="E193" s="9"/>
      <c r="F193" s="9"/>
      <c r="G193" s="10"/>
      <c r="H193" s="11"/>
      <c r="I193" s="10"/>
      <c r="J193" s="10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</row>
    <row r="194" spans="1:79">
      <c r="A194" s="7"/>
      <c r="B194" s="7"/>
      <c r="C194" s="7"/>
      <c r="D194" s="9"/>
      <c r="E194" s="9"/>
      <c r="F194" s="9"/>
      <c r="G194" s="10"/>
      <c r="H194" s="11"/>
      <c r="I194" s="10"/>
      <c r="J194" s="10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</row>
    <row r="195" spans="1:79">
      <c r="A195" s="7"/>
      <c r="B195" s="7"/>
      <c r="C195" s="7"/>
      <c r="D195" s="9"/>
      <c r="E195" s="9"/>
      <c r="F195" s="9"/>
      <c r="G195" s="10"/>
      <c r="H195" s="11"/>
      <c r="I195" s="10"/>
      <c r="J195" s="10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</row>
    <row r="196" spans="1:79">
      <c r="A196" s="7"/>
      <c r="B196" s="7"/>
      <c r="C196" s="7"/>
      <c r="D196" s="9"/>
      <c r="E196" s="9"/>
      <c r="F196" s="9"/>
      <c r="G196" s="10"/>
      <c r="H196" s="11"/>
      <c r="I196" s="10"/>
      <c r="J196" s="10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</row>
    <row r="197" spans="1:79">
      <c r="A197" s="7"/>
      <c r="B197" s="7"/>
      <c r="C197" s="7"/>
      <c r="D197" s="9"/>
      <c r="E197" s="9"/>
      <c r="F197" s="9"/>
      <c r="G197" s="10"/>
      <c r="H197" s="11"/>
      <c r="I197" s="10"/>
      <c r="J197" s="10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</row>
    <row r="198" spans="1:79">
      <c r="A198" s="7"/>
      <c r="B198" s="7"/>
      <c r="C198" s="7"/>
      <c r="D198" s="9"/>
      <c r="E198" s="9"/>
      <c r="F198" s="9"/>
      <c r="G198" s="10"/>
      <c r="H198" s="11"/>
      <c r="I198" s="10"/>
      <c r="J198" s="10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</row>
    <row r="199" spans="1:79">
      <c r="A199" s="7"/>
      <c r="B199" s="7"/>
      <c r="C199" s="7"/>
      <c r="D199" s="9"/>
      <c r="E199" s="9"/>
      <c r="F199" s="9"/>
      <c r="G199" s="10"/>
      <c r="H199" s="11"/>
      <c r="I199" s="10"/>
      <c r="J199" s="10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</row>
    <row r="200" spans="1:79">
      <c r="A200" s="7"/>
      <c r="B200" s="7"/>
      <c r="C200" s="7"/>
      <c r="D200" s="9"/>
      <c r="E200" s="9"/>
      <c r="F200" s="9"/>
      <c r="G200" s="10"/>
      <c r="H200" s="11"/>
      <c r="I200" s="10"/>
      <c r="J200" s="10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</row>
    <row r="201" spans="1:79">
      <c r="A201" s="7"/>
      <c r="B201" s="7"/>
      <c r="C201" s="7"/>
      <c r="D201" s="9"/>
      <c r="E201" s="9"/>
      <c r="F201" s="9"/>
      <c r="G201" s="10"/>
      <c r="H201" s="11"/>
      <c r="I201" s="10"/>
      <c r="J201" s="10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</row>
    <row r="202" spans="1:79">
      <c r="A202" s="7"/>
      <c r="B202" s="7"/>
      <c r="C202" s="7"/>
      <c r="D202" s="9"/>
      <c r="E202" s="9"/>
      <c r="F202" s="9"/>
      <c r="G202" s="10"/>
      <c r="H202" s="11"/>
      <c r="I202" s="10"/>
      <c r="J202" s="10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</row>
    <row r="203" spans="1:79">
      <c r="A203" s="7"/>
      <c r="B203" s="7"/>
      <c r="C203" s="7"/>
      <c r="D203" s="9"/>
      <c r="E203" s="9"/>
      <c r="F203" s="9"/>
      <c r="G203" s="10"/>
      <c r="H203" s="11"/>
      <c r="I203" s="10"/>
      <c r="J203" s="10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</row>
    <row r="204" spans="1:79">
      <c r="A204" s="7"/>
      <c r="B204" s="7"/>
      <c r="C204" s="7"/>
      <c r="D204" s="9"/>
      <c r="E204" s="9"/>
      <c r="F204" s="9"/>
      <c r="G204" s="10"/>
      <c r="H204" s="11"/>
      <c r="I204" s="10"/>
      <c r="J204" s="10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</row>
    <row r="205" spans="1:79">
      <c r="A205" s="7"/>
      <c r="B205" s="7"/>
      <c r="C205" s="7"/>
      <c r="D205" s="9"/>
      <c r="E205" s="9"/>
      <c r="F205" s="9"/>
      <c r="G205" s="10"/>
      <c r="H205" s="11"/>
      <c r="I205" s="10"/>
      <c r="J205" s="10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</row>
    <row r="206" spans="1:79">
      <c r="A206" s="7"/>
      <c r="B206" s="7"/>
      <c r="C206" s="7"/>
      <c r="D206" s="9"/>
      <c r="E206" s="9"/>
      <c r="F206" s="9"/>
      <c r="G206" s="10"/>
      <c r="H206" s="11"/>
      <c r="I206" s="10"/>
      <c r="J206" s="10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</row>
    <row r="207" spans="1:79">
      <c r="A207" s="7"/>
      <c r="B207" s="7"/>
      <c r="C207" s="7"/>
      <c r="D207" s="9"/>
      <c r="E207" s="9"/>
      <c r="F207" s="9"/>
      <c r="G207" s="10"/>
      <c r="H207" s="11"/>
      <c r="I207" s="10"/>
      <c r="J207" s="10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</row>
    <row r="208" spans="1:79">
      <c r="A208" s="7"/>
      <c r="B208" s="7"/>
      <c r="C208" s="7"/>
      <c r="D208" s="9"/>
      <c r="E208" s="9"/>
      <c r="F208" s="9"/>
      <c r="G208" s="10"/>
      <c r="H208" s="11"/>
      <c r="I208" s="10"/>
      <c r="J208" s="10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</row>
    <row r="209" spans="1:79">
      <c r="A209" s="7"/>
      <c r="B209" s="7"/>
      <c r="C209" s="7"/>
      <c r="D209" s="9"/>
      <c r="E209" s="9"/>
      <c r="F209" s="9"/>
      <c r="G209" s="10"/>
      <c r="H209" s="11"/>
      <c r="I209" s="10"/>
      <c r="J209" s="10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</row>
    <row r="210" spans="1:79">
      <c r="A210" s="7"/>
      <c r="B210" s="7"/>
      <c r="C210" s="7"/>
      <c r="D210" s="9"/>
      <c r="E210" s="9"/>
      <c r="F210" s="9"/>
      <c r="G210" s="10"/>
      <c r="H210" s="11"/>
      <c r="I210" s="10"/>
      <c r="J210" s="10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</row>
    <row r="211" spans="1:79">
      <c r="A211" s="7"/>
      <c r="B211" s="7"/>
      <c r="C211" s="7"/>
      <c r="D211" s="9"/>
      <c r="E211" s="9"/>
      <c r="F211" s="9"/>
      <c r="G211" s="10"/>
      <c r="H211" s="11"/>
      <c r="I211" s="10"/>
      <c r="J211" s="10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</row>
    <row r="212" spans="1:79">
      <c r="A212" s="7"/>
      <c r="B212" s="7"/>
      <c r="C212" s="7"/>
      <c r="D212" s="9"/>
      <c r="E212" s="9"/>
      <c r="F212" s="9"/>
      <c r="G212" s="10"/>
      <c r="H212" s="11"/>
      <c r="I212" s="10"/>
      <c r="J212" s="10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</row>
    <row r="213" spans="1:79">
      <c r="A213" s="7"/>
      <c r="B213" s="7"/>
      <c r="C213" s="7"/>
      <c r="D213" s="9"/>
      <c r="E213" s="9"/>
      <c r="F213" s="9"/>
      <c r="G213" s="10"/>
      <c r="H213" s="11"/>
      <c r="I213" s="10"/>
      <c r="J213" s="10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</row>
    <row r="214" spans="1:79">
      <c r="A214" s="7"/>
      <c r="B214" s="7"/>
      <c r="C214" s="7"/>
      <c r="D214" s="9"/>
      <c r="E214" s="9"/>
      <c r="F214" s="9"/>
      <c r="G214" s="10"/>
      <c r="H214" s="11"/>
      <c r="I214" s="10"/>
      <c r="J214" s="10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</row>
    <row r="215" spans="1:79">
      <c r="A215" s="7"/>
      <c r="B215" s="7"/>
      <c r="C215" s="7"/>
      <c r="D215" s="9"/>
      <c r="E215" s="9"/>
      <c r="F215" s="9"/>
      <c r="G215" s="10"/>
      <c r="H215" s="11"/>
      <c r="I215" s="10"/>
      <c r="J215" s="10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</row>
    <row r="216" spans="1:79">
      <c r="A216" s="7"/>
      <c r="B216" s="7"/>
      <c r="C216" s="7"/>
      <c r="D216" s="9"/>
      <c r="E216" s="9"/>
      <c r="F216" s="9"/>
      <c r="G216" s="10"/>
      <c r="H216" s="11"/>
      <c r="I216" s="10"/>
      <c r="J216" s="10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</row>
    <row r="217" spans="1:79">
      <c r="A217" s="7"/>
      <c r="B217" s="7"/>
      <c r="C217" s="7"/>
      <c r="D217" s="9"/>
      <c r="E217" s="9"/>
      <c r="F217" s="9"/>
      <c r="G217" s="10"/>
      <c r="H217" s="11"/>
      <c r="I217" s="10"/>
      <c r="J217" s="10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</row>
    <row r="218" spans="1:79">
      <c r="A218" s="7"/>
      <c r="B218" s="7"/>
      <c r="C218" s="7"/>
      <c r="D218" s="9"/>
      <c r="E218" s="9"/>
      <c r="F218" s="9"/>
      <c r="G218" s="10"/>
      <c r="H218" s="11"/>
      <c r="I218" s="10"/>
      <c r="J218" s="10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</row>
    <row r="219" spans="1:79">
      <c r="A219" s="7"/>
      <c r="B219" s="7"/>
      <c r="C219" s="7"/>
      <c r="D219" s="9"/>
      <c r="E219" s="9"/>
      <c r="F219" s="9"/>
      <c r="G219" s="10"/>
      <c r="H219" s="11"/>
      <c r="I219" s="10"/>
      <c r="J219" s="10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</row>
    <row r="220" spans="1:79">
      <c r="A220" s="7"/>
      <c r="B220" s="7"/>
      <c r="C220" s="7"/>
      <c r="D220" s="9"/>
      <c r="E220" s="9"/>
      <c r="F220" s="9"/>
      <c r="G220" s="10"/>
      <c r="H220" s="11"/>
      <c r="I220" s="10"/>
      <c r="J220" s="10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</row>
    <row r="221" spans="1:79">
      <c r="A221" s="7"/>
      <c r="B221" s="7"/>
      <c r="C221" s="7"/>
      <c r="D221" s="9"/>
      <c r="E221" s="9"/>
      <c r="F221" s="9"/>
      <c r="G221" s="10"/>
      <c r="H221" s="11"/>
      <c r="I221" s="10"/>
      <c r="J221" s="10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</row>
    <row r="222" spans="1:79">
      <c r="A222" s="7"/>
      <c r="B222" s="7"/>
      <c r="C222" s="7"/>
      <c r="D222" s="9"/>
      <c r="E222" s="9"/>
      <c r="F222" s="9"/>
      <c r="G222" s="10"/>
      <c r="H222" s="11"/>
      <c r="I222" s="10"/>
      <c r="J222" s="10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</row>
    <row r="223" spans="1:79">
      <c r="A223" s="7"/>
      <c r="B223" s="7"/>
      <c r="C223" s="7"/>
      <c r="D223" s="9"/>
      <c r="E223" s="9"/>
      <c r="F223" s="9"/>
      <c r="G223" s="10"/>
      <c r="H223" s="11"/>
      <c r="I223" s="10"/>
      <c r="J223" s="10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</row>
    <row r="224" spans="1:79">
      <c r="A224" s="7"/>
      <c r="B224" s="7"/>
      <c r="C224" s="7"/>
      <c r="D224" s="9"/>
      <c r="E224" s="9"/>
      <c r="F224" s="9"/>
      <c r="G224" s="10"/>
      <c r="H224" s="11"/>
      <c r="I224" s="10"/>
      <c r="J224" s="10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</row>
    <row r="225" spans="1:79">
      <c r="A225" s="7"/>
      <c r="B225" s="7"/>
      <c r="C225" s="7"/>
      <c r="D225" s="9"/>
      <c r="E225" s="9"/>
      <c r="F225" s="9"/>
      <c r="G225" s="10"/>
      <c r="H225" s="11"/>
      <c r="I225" s="10"/>
      <c r="J225" s="10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</row>
    <row r="226" spans="1:79">
      <c r="A226" s="7"/>
      <c r="B226" s="7"/>
      <c r="C226" s="7"/>
      <c r="D226" s="9"/>
      <c r="E226" s="9"/>
      <c r="F226" s="9"/>
      <c r="G226" s="10"/>
      <c r="H226" s="11"/>
      <c r="I226" s="10"/>
      <c r="J226" s="10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</row>
    <row r="227" spans="1:79">
      <c r="A227" s="7"/>
      <c r="B227" s="7"/>
      <c r="C227" s="7"/>
      <c r="D227" s="9"/>
      <c r="E227" s="9"/>
      <c r="F227" s="9"/>
      <c r="G227" s="10"/>
      <c r="H227" s="11"/>
      <c r="I227" s="10"/>
      <c r="J227" s="10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</row>
    <row r="228" spans="1:79">
      <c r="A228" s="7"/>
      <c r="B228" s="7"/>
      <c r="C228" s="7"/>
      <c r="D228" s="9"/>
      <c r="E228" s="9"/>
      <c r="F228" s="9"/>
      <c r="G228" s="10"/>
      <c r="H228" s="11"/>
      <c r="I228" s="10"/>
      <c r="J228" s="10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</row>
    <row r="229" spans="1:79">
      <c r="A229" s="7"/>
      <c r="B229" s="7"/>
      <c r="C229" s="7"/>
      <c r="D229" s="9"/>
      <c r="E229" s="9"/>
      <c r="F229" s="9"/>
      <c r="G229" s="10"/>
      <c r="H229" s="11"/>
      <c r="I229" s="10"/>
      <c r="J229" s="10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</row>
    <row r="230" spans="1:79">
      <c r="A230" s="7"/>
      <c r="B230" s="7"/>
      <c r="C230" s="7"/>
      <c r="D230" s="9"/>
      <c r="E230" s="9"/>
      <c r="F230" s="9"/>
      <c r="G230" s="10"/>
      <c r="H230" s="11"/>
      <c r="I230" s="10"/>
      <c r="J230" s="10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</row>
    <row r="231" spans="1:79">
      <c r="A231" s="7"/>
      <c r="B231" s="7"/>
      <c r="C231" s="7"/>
      <c r="D231" s="9"/>
      <c r="E231" s="9"/>
      <c r="F231" s="9"/>
      <c r="G231" s="10"/>
      <c r="H231" s="11"/>
      <c r="I231" s="10"/>
      <c r="J231" s="10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</row>
    <row r="232" spans="1:79">
      <c r="A232" s="7"/>
      <c r="B232" s="7"/>
      <c r="C232" s="7"/>
      <c r="D232" s="9"/>
      <c r="E232" s="9"/>
      <c r="F232" s="9"/>
      <c r="G232" s="10"/>
      <c r="H232" s="11"/>
      <c r="I232" s="10"/>
      <c r="J232" s="10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</row>
    <row r="233" spans="1:79">
      <c r="A233" s="7"/>
      <c r="B233" s="7"/>
      <c r="C233" s="7"/>
      <c r="D233" s="9"/>
      <c r="E233" s="9"/>
      <c r="F233" s="9"/>
      <c r="G233" s="10"/>
      <c r="H233" s="11"/>
      <c r="I233" s="10"/>
      <c r="J233" s="10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</row>
    <row r="234" spans="1:79">
      <c r="A234" s="7"/>
      <c r="B234" s="7"/>
      <c r="C234" s="7"/>
      <c r="D234" s="9"/>
      <c r="E234" s="9"/>
      <c r="F234" s="9"/>
      <c r="G234" s="10"/>
      <c r="H234" s="11"/>
      <c r="I234" s="10"/>
      <c r="J234" s="10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</row>
    <row r="235" spans="1:79">
      <c r="A235" s="7"/>
      <c r="B235" s="7"/>
      <c r="C235" s="7"/>
      <c r="D235" s="9"/>
      <c r="E235" s="9"/>
      <c r="F235" s="9"/>
      <c r="G235" s="10"/>
      <c r="H235" s="11"/>
      <c r="I235" s="10"/>
      <c r="J235" s="10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</row>
    <row r="236" spans="1:79">
      <c r="A236" s="7"/>
      <c r="B236" s="7"/>
      <c r="C236" s="7"/>
      <c r="D236" s="9"/>
      <c r="E236" s="9"/>
      <c r="F236" s="9"/>
      <c r="G236" s="10"/>
      <c r="H236" s="11"/>
      <c r="I236" s="10"/>
      <c r="J236" s="10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</row>
    <row r="237" spans="1:79">
      <c r="A237" s="7"/>
      <c r="B237" s="7"/>
      <c r="C237" s="7"/>
      <c r="D237" s="9"/>
      <c r="E237" s="9"/>
      <c r="F237" s="9"/>
      <c r="G237" s="10"/>
      <c r="H237" s="11"/>
      <c r="I237" s="10"/>
      <c r="J237" s="10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</row>
    <row r="238" spans="1:79">
      <c r="A238" s="7"/>
      <c r="B238" s="7"/>
      <c r="C238" s="7"/>
      <c r="D238" s="9"/>
      <c r="E238" s="9"/>
      <c r="F238" s="9"/>
      <c r="G238" s="10"/>
      <c r="H238" s="11"/>
      <c r="I238" s="10"/>
      <c r="J238" s="10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</row>
    <row r="239" spans="1:79">
      <c r="A239" s="7"/>
      <c r="B239" s="7"/>
      <c r="C239" s="7"/>
      <c r="D239" s="9"/>
      <c r="E239" s="9"/>
      <c r="F239" s="9"/>
      <c r="G239" s="10"/>
      <c r="H239" s="11"/>
      <c r="I239" s="10"/>
      <c r="J239" s="10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</row>
    <row r="240" spans="1:79">
      <c r="A240" s="7"/>
      <c r="B240" s="7"/>
      <c r="C240" s="7"/>
      <c r="D240" s="9"/>
      <c r="E240" s="9"/>
      <c r="F240" s="9"/>
      <c r="G240" s="10"/>
      <c r="H240" s="11"/>
      <c r="I240" s="10"/>
      <c r="J240" s="10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</row>
    <row r="241" spans="1:79">
      <c r="A241" s="7"/>
      <c r="B241" s="7"/>
      <c r="C241" s="7"/>
      <c r="D241" s="9"/>
      <c r="E241" s="9"/>
      <c r="F241" s="9"/>
      <c r="G241" s="10"/>
      <c r="H241" s="11"/>
      <c r="I241" s="10"/>
      <c r="J241" s="10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</row>
    <row r="242" spans="1:79">
      <c r="A242" s="7"/>
      <c r="B242" s="7"/>
      <c r="C242" s="7"/>
      <c r="D242" s="9"/>
      <c r="E242" s="9"/>
      <c r="F242" s="9"/>
      <c r="G242" s="10"/>
      <c r="H242" s="11"/>
      <c r="I242" s="10"/>
      <c r="J242" s="10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</row>
    <row r="243" spans="1:79">
      <c r="A243" s="7"/>
      <c r="B243" s="7"/>
      <c r="C243" s="7"/>
      <c r="D243" s="9"/>
      <c r="E243" s="9"/>
      <c r="F243" s="9"/>
      <c r="G243" s="10"/>
      <c r="H243" s="11"/>
      <c r="I243" s="10"/>
      <c r="J243" s="10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</row>
    <row r="244" spans="1:79">
      <c r="A244" s="7"/>
      <c r="B244" s="7"/>
      <c r="C244" s="7"/>
      <c r="D244" s="9"/>
      <c r="E244" s="9"/>
      <c r="F244" s="9"/>
      <c r="G244" s="10"/>
      <c r="H244" s="11"/>
      <c r="I244" s="10"/>
      <c r="J244" s="10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</row>
    <row r="245" spans="1:79">
      <c r="A245" s="7"/>
      <c r="B245" s="7"/>
      <c r="C245" s="7"/>
      <c r="D245" s="9"/>
      <c r="E245" s="9"/>
      <c r="F245" s="9"/>
      <c r="G245" s="10"/>
      <c r="H245" s="11"/>
      <c r="I245" s="10"/>
      <c r="J245" s="10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</row>
    <row r="246" spans="1:79">
      <c r="A246" s="7"/>
      <c r="B246" s="7"/>
      <c r="C246" s="7"/>
      <c r="D246" s="9"/>
      <c r="E246" s="9"/>
      <c r="F246" s="9"/>
      <c r="G246" s="10"/>
      <c r="H246" s="11"/>
      <c r="I246" s="10"/>
      <c r="J246" s="10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</row>
    <row r="247" spans="1:79">
      <c r="A247" s="7"/>
      <c r="B247" s="7"/>
      <c r="C247" s="7"/>
      <c r="D247" s="9"/>
      <c r="E247" s="9"/>
      <c r="F247" s="9"/>
      <c r="G247" s="10"/>
      <c r="H247" s="11"/>
      <c r="I247" s="10"/>
      <c r="J247" s="10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</row>
    <row r="248" spans="1:79">
      <c r="A248" s="7"/>
      <c r="B248" s="7"/>
      <c r="C248" s="7"/>
      <c r="D248" s="9"/>
      <c r="E248" s="9"/>
      <c r="F248" s="9"/>
      <c r="G248" s="10"/>
      <c r="H248" s="11"/>
      <c r="I248" s="10"/>
      <c r="J248" s="10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</row>
    <row r="249" spans="1:79">
      <c r="A249" s="7"/>
      <c r="B249" s="7"/>
      <c r="C249" s="7"/>
      <c r="D249" s="9"/>
      <c r="E249" s="9"/>
      <c r="F249" s="9"/>
      <c r="G249" s="10"/>
      <c r="H249" s="11"/>
      <c r="I249" s="10"/>
      <c r="J249" s="10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</row>
    <row r="250" spans="1:79">
      <c r="A250" s="7"/>
      <c r="B250" s="7"/>
      <c r="C250" s="7"/>
      <c r="D250" s="9"/>
      <c r="E250" s="9"/>
      <c r="F250" s="9"/>
      <c r="G250" s="10"/>
      <c r="H250" s="11"/>
      <c r="I250" s="10"/>
      <c r="J250" s="10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</row>
    <row r="251" spans="1:79">
      <c r="A251" s="7"/>
      <c r="B251" s="7"/>
      <c r="C251" s="7"/>
      <c r="D251" s="9"/>
      <c r="E251" s="9"/>
      <c r="F251" s="9"/>
      <c r="G251" s="10"/>
      <c r="H251" s="11"/>
      <c r="I251" s="10"/>
      <c r="J251" s="10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</row>
    <row r="252" spans="1:79">
      <c r="A252" s="7"/>
      <c r="B252" s="7"/>
      <c r="C252" s="7"/>
      <c r="D252" s="9"/>
      <c r="E252" s="9"/>
      <c r="F252" s="9"/>
      <c r="G252" s="10"/>
      <c r="H252" s="11"/>
      <c r="I252" s="10"/>
      <c r="J252" s="10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</row>
    <row r="253" spans="1:79">
      <c r="A253" s="7"/>
      <c r="B253" s="7"/>
      <c r="C253" s="7"/>
      <c r="D253" s="9"/>
      <c r="E253" s="9"/>
      <c r="F253" s="9"/>
      <c r="G253" s="10"/>
      <c r="H253" s="11"/>
      <c r="I253" s="10"/>
      <c r="J253" s="10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</row>
    <row r="254" spans="1:79">
      <c r="A254" s="7"/>
      <c r="B254" s="7"/>
      <c r="C254" s="7"/>
      <c r="D254" s="9"/>
      <c r="E254" s="9"/>
      <c r="F254" s="9"/>
      <c r="G254" s="10"/>
      <c r="H254" s="11"/>
      <c r="I254" s="10"/>
      <c r="J254" s="10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</row>
    <row r="255" spans="1:79">
      <c r="A255" s="7"/>
      <c r="B255" s="7"/>
      <c r="C255" s="7"/>
      <c r="D255" s="9"/>
      <c r="E255" s="9"/>
      <c r="F255" s="9"/>
      <c r="G255" s="10"/>
      <c r="H255" s="11"/>
      <c r="I255" s="10"/>
      <c r="J255" s="10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</row>
    <row r="256" spans="1:79">
      <c r="A256" s="7"/>
      <c r="B256" s="7"/>
      <c r="C256" s="7"/>
      <c r="D256" s="9"/>
      <c r="E256" s="9"/>
      <c r="F256" s="9"/>
      <c r="G256" s="10"/>
      <c r="H256" s="11"/>
      <c r="I256" s="10"/>
      <c r="J256" s="10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</row>
    <row r="257" spans="1:79">
      <c r="A257" s="7"/>
      <c r="B257" s="7"/>
      <c r="C257" s="7"/>
      <c r="D257" s="9"/>
      <c r="E257" s="9"/>
      <c r="F257" s="9"/>
      <c r="G257" s="10"/>
      <c r="H257" s="11"/>
      <c r="I257" s="10"/>
      <c r="J257" s="10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</row>
    <row r="258" spans="1:79">
      <c r="A258" s="7"/>
      <c r="B258" s="7"/>
      <c r="C258" s="7"/>
      <c r="D258" s="9"/>
      <c r="E258" s="9"/>
      <c r="F258" s="9"/>
      <c r="G258" s="10"/>
      <c r="H258" s="11"/>
      <c r="I258" s="10"/>
      <c r="J258" s="10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</row>
    <row r="259" spans="1:79">
      <c r="A259" s="7"/>
      <c r="B259" s="7"/>
      <c r="C259" s="7"/>
      <c r="D259" s="9"/>
      <c r="E259" s="9"/>
      <c r="F259" s="9"/>
      <c r="G259" s="10"/>
      <c r="H259" s="11"/>
      <c r="I259" s="10"/>
      <c r="J259" s="10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</row>
    <row r="260" spans="1:79">
      <c r="A260" s="7"/>
      <c r="B260" s="7"/>
      <c r="C260" s="7"/>
      <c r="D260" s="9"/>
      <c r="E260" s="9"/>
      <c r="F260" s="9"/>
      <c r="G260" s="10"/>
      <c r="H260" s="11"/>
      <c r="I260" s="10"/>
      <c r="J260" s="10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</row>
    <row r="261" spans="1:79">
      <c r="A261" s="7"/>
      <c r="B261" s="7"/>
      <c r="C261" s="7"/>
      <c r="D261" s="9"/>
      <c r="E261" s="9"/>
      <c r="F261" s="9"/>
      <c r="G261" s="10"/>
      <c r="H261" s="11"/>
      <c r="I261" s="10"/>
      <c r="J261" s="10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</row>
    <row r="262" spans="1:79">
      <c r="A262" s="7"/>
      <c r="B262" s="7"/>
      <c r="C262" s="7"/>
      <c r="D262" s="9"/>
      <c r="E262" s="9"/>
      <c r="F262" s="9"/>
      <c r="G262" s="10"/>
      <c r="H262" s="11"/>
      <c r="I262" s="10"/>
      <c r="J262" s="10"/>
    </row>
    <row r="263" spans="1:79">
      <c r="A263" s="7"/>
      <c r="B263" s="7"/>
      <c r="C263" s="7"/>
      <c r="D263" s="9"/>
      <c r="E263" s="9"/>
      <c r="F263" s="9"/>
      <c r="G263" s="10"/>
      <c r="H263" s="11"/>
      <c r="I263" s="10"/>
      <c r="J263" s="10"/>
    </row>
  </sheetData>
  <mergeCells count="4">
    <mergeCell ref="A32:B32"/>
    <mergeCell ref="A33:B33"/>
    <mergeCell ref="A37:B37"/>
    <mergeCell ref="A40:B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CAE9-FD06-423C-A517-2BD6DB7B3140}">
  <dimension ref="A1:O42"/>
  <sheetViews>
    <sheetView topLeftCell="A14" zoomScale="60" workbookViewId="0">
      <selection activeCell="O42" sqref="I37:O42"/>
    </sheetView>
  </sheetViews>
  <sheetFormatPr defaultRowHeight="15"/>
  <cols>
    <col min="1" max="1" width="5.5703125" customWidth="1"/>
    <col min="2" max="2" width="18.85546875" customWidth="1"/>
    <col min="3" max="3" width="23.5703125" customWidth="1"/>
    <col min="4" max="4" width="16.85546875" bestFit="1" customWidth="1"/>
    <col min="5" max="5" width="15.140625" customWidth="1"/>
    <col min="6" max="6" width="14.7109375" bestFit="1" customWidth="1"/>
    <col min="7" max="7" width="19.7109375" customWidth="1"/>
    <col min="8" max="8" width="13.42578125" bestFit="1" customWidth="1"/>
    <col min="9" max="9" width="22.5703125" customWidth="1"/>
    <col min="10" max="10" width="22.28515625" customWidth="1"/>
    <col min="11" max="11" width="22.140625" customWidth="1"/>
    <col min="12" max="12" width="32.7109375" customWidth="1"/>
    <col min="13" max="13" width="27" customWidth="1"/>
    <col min="14" max="14" width="29.42578125" customWidth="1"/>
    <col min="15" max="15" width="16.28515625" customWidth="1"/>
  </cols>
  <sheetData>
    <row r="1" spans="1:13">
      <c r="A1" s="30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1" t="s">
        <v>6</v>
      </c>
      <c r="G1" s="30" t="s">
        <v>7</v>
      </c>
      <c r="H1" s="31" t="s">
        <v>8</v>
      </c>
      <c r="I1" s="30" t="s">
        <v>59</v>
      </c>
      <c r="J1" s="30" t="s">
        <v>60</v>
      </c>
      <c r="K1" s="30" t="s">
        <v>61</v>
      </c>
      <c r="L1" s="30" t="s">
        <v>9</v>
      </c>
      <c r="M1" s="30" t="s">
        <v>10</v>
      </c>
    </row>
    <row r="2" spans="1:13">
      <c r="A2" s="32">
        <v>1</v>
      </c>
      <c r="B2" s="32" t="s">
        <v>11</v>
      </c>
      <c r="C2" s="32" t="s">
        <v>18</v>
      </c>
      <c r="D2" s="33">
        <f>VLOOKUP(C2,$K$36:$O$41,5,FALSE)</f>
        <v>6500000</v>
      </c>
      <c r="E2" s="34">
        <f>VLOOKUP(C2,$K$36:$O$41,2,FALSE)*D2</f>
        <v>650000</v>
      </c>
      <c r="F2" s="33">
        <f>D2+E2</f>
        <v>7150000</v>
      </c>
      <c r="G2" s="35">
        <v>92</v>
      </c>
      <c r="H2" s="34">
        <f>IF(G2&gt;=95,F2*10%,IF(G2&gt;=90,F2*5%,F2*2%))</f>
        <v>357500</v>
      </c>
      <c r="I2" s="33">
        <f>VLOOKUP(C2,$K$36:$O$41,3,FALSE)*D2</f>
        <v>65000</v>
      </c>
      <c r="J2" s="33">
        <f>VLOOKUP(C2,$K$36:$O$41,4,FALSE)*D2</f>
        <v>130000</v>
      </c>
      <c r="K2" s="33">
        <f>I2+J2</f>
        <v>195000</v>
      </c>
      <c r="L2" s="33">
        <f>(F2+H2)-K2</f>
        <v>7312500</v>
      </c>
      <c r="M2" s="36" t="str">
        <f>IF(G2&gt;=95,"Sangat Baik",IF(G2&gt;=90,"Baik",IF(G2&gt;=80,"Cukup","Kurang")))</f>
        <v>Baik</v>
      </c>
    </row>
    <row r="3" spans="1:13">
      <c r="A3" s="32">
        <v>2</v>
      </c>
      <c r="B3" s="32" t="s">
        <v>13</v>
      </c>
      <c r="C3" s="32" t="s">
        <v>18</v>
      </c>
      <c r="D3" s="33">
        <f t="shared" ref="D3:D26" si="0">VLOOKUP(C3,$K$36:$O$41,5,FALSE)</f>
        <v>6500000</v>
      </c>
      <c r="E3" s="34">
        <f t="shared" ref="E3:E26" si="1">VLOOKUP(C3,$K$36:$O$41,2,FALSE)*D3</f>
        <v>650000</v>
      </c>
      <c r="F3" s="33">
        <f t="shared" ref="F3:F26" si="2">D3+E3</f>
        <v>7150000</v>
      </c>
      <c r="G3" s="35">
        <v>88</v>
      </c>
      <c r="H3" s="34">
        <f t="shared" ref="H3:H26" si="3">IF(G3&gt;=95,F3*10%,IF(G3&gt;=90,F3*5%,F3*2%))</f>
        <v>143000</v>
      </c>
      <c r="I3" s="33">
        <f t="shared" ref="I3:I26" si="4">VLOOKUP(C3,$K$36:$O$41,3,FALSE)*D3</f>
        <v>65000</v>
      </c>
      <c r="J3" s="33">
        <f t="shared" ref="J3:J26" si="5">VLOOKUP(C3,$K$36:$O$41,4,FALSE)*D3</f>
        <v>130000</v>
      </c>
      <c r="K3" s="33">
        <f t="shared" ref="K3:K26" si="6">I3+J3</f>
        <v>195000</v>
      </c>
      <c r="L3" s="33">
        <f t="shared" ref="L3:L26" si="7">(F3+H3)-K3</f>
        <v>7098000</v>
      </c>
      <c r="M3" s="36" t="str">
        <f t="shared" ref="M3:M26" si="8">IF(G3&gt;=95,"Sangat Baik",IF(G3&gt;=90,"Baik",IF(G3&gt;=80,"Cukup","Kurang")))</f>
        <v>Cukup</v>
      </c>
    </row>
    <row r="4" spans="1:13">
      <c r="A4" s="32">
        <v>3</v>
      </c>
      <c r="B4" s="32" t="s">
        <v>15</v>
      </c>
      <c r="C4" s="32" t="s">
        <v>18</v>
      </c>
      <c r="D4" s="33">
        <f t="shared" si="0"/>
        <v>6500000</v>
      </c>
      <c r="E4" s="34">
        <f t="shared" si="1"/>
        <v>650000</v>
      </c>
      <c r="F4" s="33">
        <f t="shared" si="2"/>
        <v>7150000</v>
      </c>
      <c r="G4" s="35">
        <v>96</v>
      </c>
      <c r="H4" s="34">
        <f t="shared" si="3"/>
        <v>715000</v>
      </c>
      <c r="I4" s="33">
        <f t="shared" si="4"/>
        <v>65000</v>
      </c>
      <c r="J4" s="33">
        <f t="shared" si="5"/>
        <v>130000</v>
      </c>
      <c r="K4" s="33">
        <f t="shared" si="6"/>
        <v>195000</v>
      </c>
      <c r="L4" s="33">
        <f t="shared" si="7"/>
        <v>7670000</v>
      </c>
      <c r="M4" s="36" t="str">
        <f t="shared" si="8"/>
        <v>Sangat Baik</v>
      </c>
    </row>
    <row r="5" spans="1:13">
      <c r="A5" s="32">
        <v>4</v>
      </c>
      <c r="B5" s="32" t="s">
        <v>17</v>
      </c>
      <c r="C5" s="32" t="s">
        <v>18</v>
      </c>
      <c r="D5" s="33">
        <f t="shared" si="0"/>
        <v>6500000</v>
      </c>
      <c r="E5" s="34">
        <f t="shared" si="1"/>
        <v>650000</v>
      </c>
      <c r="F5" s="33">
        <f t="shared" si="2"/>
        <v>7150000</v>
      </c>
      <c r="G5" s="35">
        <v>84</v>
      </c>
      <c r="H5" s="34">
        <f t="shared" si="3"/>
        <v>143000</v>
      </c>
      <c r="I5" s="33">
        <f t="shared" si="4"/>
        <v>65000</v>
      </c>
      <c r="J5" s="33">
        <f t="shared" si="5"/>
        <v>130000</v>
      </c>
      <c r="K5" s="33">
        <f t="shared" si="6"/>
        <v>195000</v>
      </c>
      <c r="L5" s="33">
        <f t="shared" si="7"/>
        <v>7098000</v>
      </c>
      <c r="M5" s="36" t="str">
        <f t="shared" si="8"/>
        <v>Cukup</v>
      </c>
    </row>
    <row r="6" spans="1:13">
      <c r="A6" s="32">
        <v>5</v>
      </c>
      <c r="B6" s="32" t="s">
        <v>19</v>
      </c>
      <c r="C6" s="32" t="s">
        <v>18</v>
      </c>
      <c r="D6" s="33">
        <f t="shared" si="0"/>
        <v>6500000</v>
      </c>
      <c r="E6" s="34">
        <f t="shared" si="1"/>
        <v>650000</v>
      </c>
      <c r="F6" s="33">
        <f t="shared" si="2"/>
        <v>7150000</v>
      </c>
      <c r="G6" s="35">
        <v>98</v>
      </c>
      <c r="H6" s="34">
        <f t="shared" si="3"/>
        <v>715000</v>
      </c>
      <c r="I6" s="33">
        <f t="shared" si="4"/>
        <v>65000</v>
      </c>
      <c r="J6" s="33">
        <f t="shared" si="5"/>
        <v>130000</v>
      </c>
      <c r="K6" s="33">
        <f t="shared" si="6"/>
        <v>195000</v>
      </c>
      <c r="L6" s="33">
        <f t="shared" si="7"/>
        <v>7670000</v>
      </c>
      <c r="M6" s="36" t="str">
        <f t="shared" si="8"/>
        <v>Sangat Baik</v>
      </c>
    </row>
    <row r="7" spans="1:13">
      <c r="A7" s="32">
        <v>6</v>
      </c>
      <c r="B7" s="32" t="s">
        <v>21</v>
      </c>
      <c r="C7" s="32" t="s">
        <v>16</v>
      </c>
      <c r="D7" s="33">
        <f t="shared" si="0"/>
        <v>5000000</v>
      </c>
      <c r="E7" s="34">
        <f t="shared" si="1"/>
        <v>400000</v>
      </c>
      <c r="F7" s="33">
        <f t="shared" si="2"/>
        <v>5400000</v>
      </c>
      <c r="G7" s="35">
        <v>91</v>
      </c>
      <c r="H7" s="34">
        <f t="shared" si="3"/>
        <v>270000</v>
      </c>
      <c r="I7" s="33">
        <f t="shared" si="4"/>
        <v>50000</v>
      </c>
      <c r="J7" s="33">
        <f t="shared" si="5"/>
        <v>100000</v>
      </c>
      <c r="K7" s="33">
        <f t="shared" si="6"/>
        <v>150000</v>
      </c>
      <c r="L7" s="33">
        <f t="shared" si="7"/>
        <v>5520000</v>
      </c>
      <c r="M7" s="36" t="str">
        <f t="shared" si="8"/>
        <v>Baik</v>
      </c>
    </row>
    <row r="8" spans="1:13">
      <c r="A8" s="32">
        <v>7</v>
      </c>
      <c r="B8" s="32" t="s">
        <v>23</v>
      </c>
      <c r="C8" s="32" t="s">
        <v>16</v>
      </c>
      <c r="D8" s="33">
        <f t="shared" si="0"/>
        <v>5000000</v>
      </c>
      <c r="E8" s="34">
        <f t="shared" si="1"/>
        <v>400000</v>
      </c>
      <c r="F8" s="33">
        <f t="shared" si="2"/>
        <v>5400000</v>
      </c>
      <c r="G8" s="35">
        <v>89</v>
      </c>
      <c r="H8" s="34">
        <f t="shared" si="3"/>
        <v>108000</v>
      </c>
      <c r="I8" s="33">
        <f t="shared" si="4"/>
        <v>50000</v>
      </c>
      <c r="J8" s="33">
        <f t="shared" si="5"/>
        <v>100000</v>
      </c>
      <c r="K8" s="33">
        <f t="shared" si="6"/>
        <v>150000</v>
      </c>
      <c r="L8" s="33">
        <f t="shared" si="7"/>
        <v>5358000</v>
      </c>
      <c r="M8" s="36" t="str">
        <f t="shared" si="8"/>
        <v>Cukup</v>
      </c>
    </row>
    <row r="9" spans="1:13">
      <c r="A9" s="32">
        <v>8</v>
      </c>
      <c r="B9" s="32" t="s">
        <v>25</v>
      </c>
      <c r="C9" s="32" t="s">
        <v>16</v>
      </c>
      <c r="D9" s="33">
        <f t="shared" si="0"/>
        <v>5000000</v>
      </c>
      <c r="E9" s="34">
        <f t="shared" si="1"/>
        <v>400000</v>
      </c>
      <c r="F9" s="33">
        <f t="shared" si="2"/>
        <v>5400000</v>
      </c>
      <c r="G9" s="35">
        <v>95</v>
      </c>
      <c r="H9" s="34">
        <f t="shared" si="3"/>
        <v>540000</v>
      </c>
      <c r="I9" s="33">
        <f t="shared" si="4"/>
        <v>50000</v>
      </c>
      <c r="J9" s="33">
        <f t="shared" si="5"/>
        <v>100000</v>
      </c>
      <c r="K9" s="33">
        <f t="shared" si="6"/>
        <v>150000</v>
      </c>
      <c r="L9" s="33">
        <f t="shared" si="7"/>
        <v>5790000</v>
      </c>
      <c r="M9" s="36" t="str">
        <f t="shared" si="8"/>
        <v>Sangat Baik</v>
      </c>
    </row>
    <row r="10" spans="1:13">
      <c r="A10" s="32">
        <v>9</v>
      </c>
      <c r="B10" s="32" t="s">
        <v>27</v>
      </c>
      <c r="C10" s="32" t="s">
        <v>16</v>
      </c>
      <c r="D10" s="33">
        <f t="shared" si="0"/>
        <v>5000000</v>
      </c>
      <c r="E10" s="34">
        <f t="shared" si="1"/>
        <v>400000</v>
      </c>
      <c r="F10" s="33">
        <f t="shared" si="2"/>
        <v>5400000</v>
      </c>
      <c r="G10" s="35">
        <v>97</v>
      </c>
      <c r="H10" s="34">
        <f t="shared" si="3"/>
        <v>540000</v>
      </c>
      <c r="I10" s="33">
        <f t="shared" si="4"/>
        <v>50000</v>
      </c>
      <c r="J10" s="33">
        <f t="shared" si="5"/>
        <v>100000</v>
      </c>
      <c r="K10" s="33">
        <f t="shared" si="6"/>
        <v>150000</v>
      </c>
      <c r="L10" s="33">
        <f t="shared" si="7"/>
        <v>5790000</v>
      </c>
      <c r="M10" s="36" t="str">
        <f t="shared" si="8"/>
        <v>Sangat Baik</v>
      </c>
    </row>
    <row r="11" spans="1:13">
      <c r="A11" s="32">
        <v>10</v>
      </c>
      <c r="B11" s="32" t="s">
        <v>29</v>
      </c>
      <c r="C11" s="32" t="s">
        <v>16</v>
      </c>
      <c r="D11" s="33">
        <f t="shared" si="0"/>
        <v>5000000</v>
      </c>
      <c r="E11" s="34">
        <f t="shared" si="1"/>
        <v>400000</v>
      </c>
      <c r="F11" s="33">
        <f t="shared" si="2"/>
        <v>5400000</v>
      </c>
      <c r="G11" s="35">
        <v>86</v>
      </c>
      <c r="H11" s="34">
        <f t="shared" si="3"/>
        <v>108000</v>
      </c>
      <c r="I11" s="33">
        <f t="shared" si="4"/>
        <v>50000</v>
      </c>
      <c r="J11" s="33">
        <f t="shared" si="5"/>
        <v>100000</v>
      </c>
      <c r="K11" s="33">
        <f t="shared" si="6"/>
        <v>150000</v>
      </c>
      <c r="L11" s="33">
        <f t="shared" si="7"/>
        <v>5358000</v>
      </c>
      <c r="M11" s="36" t="str">
        <f t="shared" si="8"/>
        <v>Cukup</v>
      </c>
    </row>
    <row r="12" spans="1:13">
      <c r="A12" s="32">
        <v>11</v>
      </c>
      <c r="B12" s="32" t="s">
        <v>30</v>
      </c>
      <c r="C12" s="32" t="s">
        <v>26</v>
      </c>
      <c r="D12" s="33">
        <f t="shared" si="0"/>
        <v>5000000</v>
      </c>
      <c r="E12" s="34">
        <f t="shared" si="1"/>
        <v>450000</v>
      </c>
      <c r="F12" s="33">
        <f t="shared" si="2"/>
        <v>5450000</v>
      </c>
      <c r="G12" s="35">
        <v>94</v>
      </c>
      <c r="H12" s="34">
        <f t="shared" si="3"/>
        <v>272500</v>
      </c>
      <c r="I12" s="33">
        <f t="shared" si="4"/>
        <v>50000</v>
      </c>
      <c r="J12" s="33">
        <f t="shared" si="5"/>
        <v>100000</v>
      </c>
      <c r="K12" s="33">
        <f t="shared" si="6"/>
        <v>150000</v>
      </c>
      <c r="L12" s="33">
        <f t="shared" si="7"/>
        <v>5572500</v>
      </c>
      <c r="M12" s="36" t="str">
        <f t="shared" si="8"/>
        <v>Baik</v>
      </c>
    </row>
    <row r="13" spans="1:13">
      <c r="A13" s="32">
        <v>12</v>
      </c>
      <c r="B13" s="32" t="s">
        <v>31</v>
      </c>
      <c r="C13" s="32" t="s">
        <v>16</v>
      </c>
      <c r="D13" s="33">
        <f t="shared" si="0"/>
        <v>5000000</v>
      </c>
      <c r="E13" s="34">
        <f t="shared" si="1"/>
        <v>400000</v>
      </c>
      <c r="F13" s="33">
        <f t="shared" si="2"/>
        <v>5400000</v>
      </c>
      <c r="G13" s="35">
        <v>93</v>
      </c>
      <c r="H13" s="34">
        <f t="shared" si="3"/>
        <v>270000</v>
      </c>
      <c r="I13" s="33">
        <f t="shared" si="4"/>
        <v>50000</v>
      </c>
      <c r="J13" s="33">
        <f t="shared" si="5"/>
        <v>100000</v>
      </c>
      <c r="K13" s="33">
        <f t="shared" si="6"/>
        <v>150000</v>
      </c>
      <c r="L13" s="33">
        <f t="shared" si="7"/>
        <v>5520000</v>
      </c>
      <c r="M13" s="36" t="str">
        <f t="shared" si="8"/>
        <v>Baik</v>
      </c>
    </row>
    <row r="14" spans="1:13">
      <c r="A14" s="32">
        <v>13</v>
      </c>
      <c r="B14" s="32" t="s">
        <v>32</v>
      </c>
      <c r="C14" s="32" t="s">
        <v>12</v>
      </c>
      <c r="D14" s="33">
        <f t="shared" si="0"/>
        <v>6000000</v>
      </c>
      <c r="E14" s="34">
        <f t="shared" si="1"/>
        <v>720000</v>
      </c>
      <c r="F14" s="33">
        <f t="shared" si="2"/>
        <v>6720000</v>
      </c>
      <c r="G14" s="35">
        <v>90</v>
      </c>
      <c r="H14" s="34">
        <f t="shared" si="3"/>
        <v>336000</v>
      </c>
      <c r="I14" s="33">
        <f t="shared" si="4"/>
        <v>60000</v>
      </c>
      <c r="J14" s="33">
        <f t="shared" si="5"/>
        <v>120000</v>
      </c>
      <c r="K14" s="33">
        <f t="shared" si="6"/>
        <v>180000</v>
      </c>
      <c r="L14" s="33">
        <f t="shared" si="7"/>
        <v>6876000</v>
      </c>
      <c r="M14" s="36" t="str">
        <f t="shared" si="8"/>
        <v>Baik</v>
      </c>
    </row>
    <row r="15" spans="1:13">
      <c r="A15" s="32">
        <v>14</v>
      </c>
      <c r="B15" s="32" t="s">
        <v>33</v>
      </c>
      <c r="C15" s="32" t="s">
        <v>16</v>
      </c>
      <c r="D15" s="33">
        <f t="shared" si="0"/>
        <v>5000000</v>
      </c>
      <c r="E15" s="34">
        <f t="shared" si="1"/>
        <v>400000</v>
      </c>
      <c r="F15" s="33">
        <f t="shared" si="2"/>
        <v>5400000</v>
      </c>
      <c r="G15" s="35">
        <v>83</v>
      </c>
      <c r="H15" s="34">
        <f t="shared" si="3"/>
        <v>108000</v>
      </c>
      <c r="I15" s="33">
        <f t="shared" si="4"/>
        <v>50000</v>
      </c>
      <c r="J15" s="33">
        <f t="shared" si="5"/>
        <v>100000</v>
      </c>
      <c r="K15" s="33">
        <f t="shared" si="6"/>
        <v>150000</v>
      </c>
      <c r="L15" s="33">
        <f t="shared" si="7"/>
        <v>5358000</v>
      </c>
      <c r="M15" s="36" t="str">
        <f t="shared" si="8"/>
        <v>Cukup</v>
      </c>
    </row>
    <row r="16" spans="1:13">
      <c r="A16" s="32">
        <v>15</v>
      </c>
      <c r="B16" s="32" t="s">
        <v>34</v>
      </c>
      <c r="C16" s="32" t="s">
        <v>12</v>
      </c>
      <c r="D16" s="33">
        <f t="shared" si="0"/>
        <v>6000000</v>
      </c>
      <c r="E16" s="34">
        <f t="shared" si="1"/>
        <v>720000</v>
      </c>
      <c r="F16" s="33">
        <f t="shared" si="2"/>
        <v>6720000</v>
      </c>
      <c r="G16" s="35">
        <v>89</v>
      </c>
      <c r="H16" s="34">
        <f t="shared" si="3"/>
        <v>134400</v>
      </c>
      <c r="I16" s="33">
        <f t="shared" si="4"/>
        <v>60000</v>
      </c>
      <c r="J16" s="33">
        <f t="shared" si="5"/>
        <v>120000</v>
      </c>
      <c r="K16" s="33">
        <f t="shared" si="6"/>
        <v>180000</v>
      </c>
      <c r="L16" s="33">
        <f t="shared" si="7"/>
        <v>6674400</v>
      </c>
      <c r="M16" s="36" t="str">
        <f t="shared" si="8"/>
        <v>Cukup</v>
      </c>
    </row>
    <row r="17" spans="1:13">
      <c r="A17" s="32">
        <v>16</v>
      </c>
      <c r="B17" s="32" t="s">
        <v>35</v>
      </c>
      <c r="C17" s="32" t="s">
        <v>12</v>
      </c>
      <c r="D17" s="33">
        <f t="shared" si="0"/>
        <v>6000000</v>
      </c>
      <c r="E17" s="34">
        <f t="shared" si="1"/>
        <v>720000</v>
      </c>
      <c r="F17" s="33">
        <f t="shared" si="2"/>
        <v>6720000</v>
      </c>
      <c r="G17" s="35">
        <v>91</v>
      </c>
      <c r="H17" s="34">
        <f t="shared" si="3"/>
        <v>336000</v>
      </c>
      <c r="I17" s="33">
        <f t="shared" si="4"/>
        <v>60000</v>
      </c>
      <c r="J17" s="33">
        <f t="shared" si="5"/>
        <v>120000</v>
      </c>
      <c r="K17" s="33">
        <f t="shared" si="6"/>
        <v>180000</v>
      </c>
      <c r="L17" s="33">
        <f t="shared" si="7"/>
        <v>6876000</v>
      </c>
      <c r="M17" s="36" t="str">
        <f t="shared" si="8"/>
        <v>Baik</v>
      </c>
    </row>
    <row r="18" spans="1:13">
      <c r="A18" s="32">
        <v>17</v>
      </c>
      <c r="B18" s="32" t="s">
        <v>36</v>
      </c>
      <c r="C18" s="32" t="s">
        <v>14</v>
      </c>
      <c r="D18" s="33">
        <f t="shared" si="0"/>
        <v>6000000</v>
      </c>
      <c r="E18" s="34">
        <f t="shared" si="1"/>
        <v>420000.00000000006</v>
      </c>
      <c r="F18" s="33">
        <f t="shared" si="2"/>
        <v>6420000</v>
      </c>
      <c r="G18" s="35">
        <v>95</v>
      </c>
      <c r="H18" s="34">
        <f t="shared" si="3"/>
        <v>642000</v>
      </c>
      <c r="I18" s="33">
        <f t="shared" si="4"/>
        <v>60000</v>
      </c>
      <c r="J18" s="33">
        <f t="shared" si="5"/>
        <v>120000</v>
      </c>
      <c r="K18" s="33">
        <f t="shared" si="6"/>
        <v>180000</v>
      </c>
      <c r="L18" s="33">
        <f t="shared" si="7"/>
        <v>6882000</v>
      </c>
      <c r="M18" s="36" t="str">
        <f t="shared" si="8"/>
        <v>Sangat Baik</v>
      </c>
    </row>
    <row r="19" spans="1:13">
      <c r="A19" s="32">
        <v>18</v>
      </c>
      <c r="B19" s="32" t="s">
        <v>37</v>
      </c>
      <c r="C19" s="32" t="s">
        <v>16</v>
      </c>
      <c r="D19" s="33">
        <f t="shared" si="0"/>
        <v>5000000</v>
      </c>
      <c r="E19" s="34">
        <f t="shared" si="1"/>
        <v>400000</v>
      </c>
      <c r="F19" s="33">
        <f t="shared" si="2"/>
        <v>5400000</v>
      </c>
      <c r="G19" s="35">
        <v>88</v>
      </c>
      <c r="H19" s="34">
        <f t="shared" si="3"/>
        <v>108000</v>
      </c>
      <c r="I19" s="33">
        <f t="shared" si="4"/>
        <v>50000</v>
      </c>
      <c r="J19" s="33">
        <f t="shared" si="5"/>
        <v>100000</v>
      </c>
      <c r="K19" s="33">
        <f t="shared" si="6"/>
        <v>150000</v>
      </c>
      <c r="L19" s="33">
        <f t="shared" si="7"/>
        <v>5358000</v>
      </c>
      <c r="M19" s="36" t="str">
        <f t="shared" si="8"/>
        <v>Cukup</v>
      </c>
    </row>
    <row r="20" spans="1:13">
      <c r="A20" s="32">
        <v>19</v>
      </c>
      <c r="B20" s="32" t="s">
        <v>38</v>
      </c>
      <c r="C20" s="32" t="s">
        <v>16</v>
      </c>
      <c r="D20" s="33">
        <f t="shared" si="0"/>
        <v>5000000</v>
      </c>
      <c r="E20" s="34">
        <f t="shared" si="1"/>
        <v>400000</v>
      </c>
      <c r="F20" s="33">
        <f t="shared" si="2"/>
        <v>5400000</v>
      </c>
      <c r="G20" s="35">
        <v>99</v>
      </c>
      <c r="H20" s="34">
        <f t="shared" si="3"/>
        <v>540000</v>
      </c>
      <c r="I20" s="33">
        <f t="shared" si="4"/>
        <v>50000</v>
      </c>
      <c r="J20" s="33">
        <f t="shared" si="5"/>
        <v>100000</v>
      </c>
      <c r="K20" s="33">
        <f t="shared" si="6"/>
        <v>150000</v>
      </c>
      <c r="L20" s="33">
        <f t="shared" si="7"/>
        <v>5790000</v>
      </c>
      <c r="M20" s="36" t="str">
        <f t="shared" si="8"/>
        <v>Sangat Baik</v>
      </c>
    </row>
    <row r="21" spans="1:13">
      <c r="A21" s="32">
        <v>20</v>
      </c>
      <c r="B21" s="32" t="s">
        <v>39</v>
      </c>
      <c r="C21" s="32" t="s">
        <v>14</v>
      </c>
      <c r="D21" s="33">
        <f t="shared" si="0"/>
        <v>6000000</v>
      </c>
      <c r="E21" s="34">
        <f t="shared" si="1"/>
        <v>420000.00000000006</v>
      </c>
      <c r="F21" s="33">
        <f t="shared" si="2"/>
        <v>6420000</v>
      </c>
      <c r="G21" s="35">
        <v>85</v>
      </c>
      <c r="H21" s="34">
        <f t="shared" si="3"/>
        <v>128400</v>
      </c>
      <c r="I21" s="33">
        <f t="shared" si="4"/>
        <v>60000</v>
      </c>
      <c r="J21" s="33">
        <f t="shared" si="5"/>
        <v>120000</v>
      </c>
      <c r="K21" s="33">
        <f t="shared" si="6"/>
        <v>180000</v>
      </c>
      <c r="L21" s="33">
        <f t="shared" si="7"/>
        <v>6368400</v>
      </c>
      <c r="M21" s="36" t="str">
        <f t="shared" si="8"/>
        <v>Cukup</v>
      </c>
    </row>
    <row r="22" spans="1:13">
      <c r="A22" s="32">
        <v>21</v>
      </c>
      <c r="B22" s="32" t="s">
        <v>40</v>
      </c>
      <c r="C22" s="32" t="s">
        <v>12</v>
      </c>
      <c r="D22" s="33">
        <f t="shared" si="0"/>
        <v>6000000</v>
      </c>
      <c r="E22" s="34">
        <f t="shared" si="1"/>
        <v>720000</v>
      </c>
      <c r="F22" s="33">
        <f t="shared" si="2"/>
        <v>6720000</v>
      </c>
      <c r="G22" s="35">
        <v>87</v>
      </c>
      <c r="H22" s="34">
        <f t="shared" si="3"/>
        <v>134400</v>
      </c>
      <c r="I22" s="33">
        <f t="shared" si="4"/>
        <v>60000</v>
      </c>
      <c r="J22" s="33">
        <f t="shared" si="5"/>
        <v>120000</v>
      </c>
      <c r="K22" s="33">
        <f t="shared" si="6"/>
        <v>180000</v>
      </c>
      <c r="L22" s="33">
        <f t="shared" si="7"/>
        <v>6674400</v>
      </c>
      <c r="M22" s="36" t="str">
        <f t="shared" si="8"/>
        <v>Cukup</v>
      </c>
    </row>
    <row r="23" spans="1:13">
      <c r="A23" s="32">
        <v>22</v>
      </c>
      <c r="B23" s="32" t="s">
        <v>41</v>
      </c>
      <c r="C23" s="32" t="s">
        <v>12</v>
      </c>
      <c r="D23" s="33">
        <f t="shared" si="0"/>
        <v>6000000</v>
      </c>
      <c r="E23" s="34">
        <f t="shared" si="1"/>
        <v>720000</v>
      </c>
      <c r="F23" s="33">
        <f t="shared" si="2"/>
        <v>6720000</v>
      </c>
      <c r="G23" s="35">
        <v>93</v>
      </c>
      <c r="H23" s="34">
        <f t="shared" si="3"/>
        <v>336000</v>
      </c>
      <c r="I23" s="33">
        <f t="shared" si="4"/>
        <v>60000</v>
      </c>
      <c r="J23" s="33">
        <f t="shared" si="5"/>
        <v>120000</v>
      </c>
      <c r="K23" s="33">
        <f t="shared" si="6"/>
        <v>180000</v>
      </c>
      <c r="L23" s="33">
        <f t="shared" si="7"/>
        <v>6876000</v>
      </c>
      <c r="M23" s="36" t="str">
        <f t="shared" si="8"/>
        <v>Baik</v>
      </c>
    </row>
    <row r="24" spans="1:13">
      <c r="A24" s="32">
        <v>23</v>
      </c>
      <c r="B24" s="32" t="s">
        <v>42</v>
      </c>
      <c r="C24" s="32" t="s">
        <v>16</v>
      </c>
      <c r="D24" s="33">
        <f t="shared" si="0"/>
        <v>5000000</v>
      </c>
      <c r="E24" s="34">
        <f t="shared" si="1"/>
        <v>400000</v>
      </c>
      <c r="F24" s="33">
        <f t="shared" si="2"/>
        <v>5400000</v>
      </c>
      <c r="G24" s="35">
        <v>94</v>
      </c>
      <c r="H24" s="34">
        <f t="shared" si="3"/>
        <v>270000</v>
      </c>
      <c r="I24" s="33">
        <f t="shared" si="4"/>
        <v>50000</v>
      </c>
      <c r="J24" s="33">
        <f t="shared" si="5"/>
        <v>100000</v>
      </c>
      <c r="K24" s="33">
        <f t="shared" si="6"/>
        <v>150000</v>
      </c>
      <c r="L24" s="33">
        <f t="shared" si="7"/>
        <v>5520000</v>
      </c>
      <c r="M24" s="36" t="str">
        <f t="shared" si="8"/>
        <v>Baik</v>
      </c>
    </row>
    <row r="25" spans="1:13">
      <c r="A25" s="32">
        <v>24</v>
      </c>
      <c r="B25" s="32" t="s">
        <v>43</v>
      </c>
      <c r="C25" s="32" t="s">
        <v>12</v>
      </c>
      <c r="D25" s="33">
        <f t="shared" si="0"/>
        <v>6000000</v>
      </c>
      <c r="E25" s="34">
        <f t="shared" si="1"/>
        <v>720000</v>
      </c>
      <c r="F25" s="33">
        <f t="shared" si="2"/>
        <v>6720000</v>
      </c>
      <c r="G25" s="35">
        <v>92</v>
      </c>
      <c r="H25" s="34">
        <f t="shared" si="3"/>
        <v>336000</v>
      </c>
      <c r="I25" s="33">
        <f t="shared" si="4"/>
        <v>60000</v>
      </c>
      <c r="J25" s="33">
        <f t="shared" si="5"/>
        <v>120000</v>
      </c>
      <c r="K25" s="33">
        <f t="shared" si="6"/>
        <v>180000</v>
      </c>
      <c r="L25" s="33">
        <f t="shared" si="7"/>
        <v>6876000</v>
      </c>
      <c r="M25" s="36" t="str">
        <f t="shared" si="8"/>
        <v>Baik</v>
      </c>
    </row>
    <row r="26" spans="1:13">
      <c r="A26" s="32">
        <v>25</v>
      </c>
      <c r="B26" s="32" t="s">
        <v>44</v>
      </c>
      <c r="C26" s="32" t="s">
        <v>16</v>
      </c>
      <c r="D26" s="33">
        <f t="shared" si="0"/>
        <v>5000000</v>
      </c>
      <c r="E26" s="34">
        <f t="shared" si="1"/>
        <v>400000</v>
      </c>
      <c r="F26" s="33">
        <f t="shared" si="2"/>
        <v>5400000</v>
      </c>
      <c r="G26" s="35">
        <v>97</v>
      </c>
      <c r="H26" s="34">
        <f t="shared" si="3"/>
        <v>540000</v>
      </c>
      <c r="I26" s="33">
        <f t="shared" si="4"/>
        <v>50000</v>
      </c>
      <c r="J26" s="33">
        <f t="shared" si="5"/>
        <v>100000</v>
      </c>
      <c r="K26" s="33">
        <f t="shared" si="6"/>
        <v>150000</v>
      </c>
      <c r="L26" s="33">
        <f t="shared" si="7"/>
        <v>5790000</v>
      </c>
      <c r="M26" s="36" t="str">
        <f t="shared" si="8"/>
        <v>Sangat Baik</v>
      </c>
    </row>
    <row r="27" spans="1:13">
      <c r="A27" s="37" t="s">
        <v>62</v>
      </c>
      <c r="B27" s="38"/>
      <c r="C27" s="39"/>
      <c r="D27" s="33">
        <f>SUM(D2:D26)</f>
        <v>140500000</v>
      </c>
      <c r="E27" s="34"/>
      <c r="F27" s="34"/>
      <c r="G27" s="40"/>
      <c r="H27" s="34"/>
      <c r="I27" s="36"/>
      <c r="J27" s="36"/>
      <c r="K27" s="36"/>
      <c r="L27" s="36"/>
      <c r="M27" s="36"/>
    </row>
    <row r="28" spans="1:13">
      <c r="A28" s="41" t="s">
        <v>63</v>
      </c>
      <c r="B28" s="38"/>
      <c r="C28" s="39"/>
      <c r="D28" s="33">
        <f>SUM(H2:H26)</f>
        <v>8131200</v>
      </c>
      <c r="E28" s="34"/>
      <c r="F28" s="34"/>
      <c r="G28" s="40"/>
      <c r="H28" s="34"/>
      <c r="I28" s="36"/>
      <c r="J28" s="36"/>
      <c r="K28" s="36"/>
      <c r="L28" s="36"/>
      <c r="M28" s="36"/>
    </row>
    <row r="29" spans="1:13">
      <c r="A29" s="41" t="s">
        <v>64</v>
      </c>
      <c r="B29" s="38"/>
      <c r="C29" s="39"/>
      <c r="D29" s="42">
        <f>AVERAGE(G2:G26)</f>
        <v>91.44</v>
      </c>
      <c r="E29" s="34"/>
      <c r="F29" s="34"/>
      <c r="G29" s="40"/>
      <c r="H29" s="34"/>
      <c r="I29" s="36"/>
      <c r="J29" s="36"/>
      <c r="K29" s="36"/>
      <c r="L29" s="36"/>
      <c r="M29" s="36"/>
    </row>
    <row r="30" spans="1:13">
      <c r="A30" s="41" t="s">
        <v>65</v>
      </c>
      <c r="B30" s="38"/>
      <c r="C30" s="39"/>
      <c r="D30" s="33">
        <f>MAX(L2:L26)</f>
        <v>7670000</v>
      </c>
      <c r="E30" s="34"/>
      <c r="F30" s="34"/>
      <c r="G30" s="40"/>
      <c r="H30" s="34"/>
      <c r="I30" s="36"/>
      <c r="J30" s="36"/>
      <c r="K30" s="36"/>
      <c r="L30" s="36"/>
      <c r="M30" s="36"/>
    </row>
    <row r="31" spans="1:13">
      <c r="A31" s="41" t="s">
        <v>66</v>
      </c>
      <c r="B31" s="38"/>
      <c r="C31" s="39"/>
      <c r="D31" s="33">
        <f>MIN(L2:L26)</f>
        <v>5358000</v>
      </c>
      <c r="E31" s="34"/>
      <c r="F31" s="34"/>
      <c r="G31" s="40"/>
      <c r="H31" s="34"/>
      <c r="I31" s="36"/>
      <c r="J31" s="36"/>
      <c r="K31" s="36"/>
      <c r="L31" s="36"/>
      <c r="M31" s="36"/>
    </row>
    <row r="32" spans="1:13">
      <c r="A32" s="41" t="s">
        <v>67</v>
      </c>
      <c r="B32" s="43"/>
      <c r="C32" s="44"/>
      <c r="D32" s="32">
        <f>COUNTIF(M2:M26,"Sangat Baik")</f>
        <v>7</v>
      </c>
      <c r="E32" s="34"/>
      <c r="F32" s="34"/>
      <c r="G32" s="40"/>
      <c r="H32" s="34"/>
      <c r="I32" s="36"/>
      <c r="J32" s="36"/>
      <c r="K32" s="36"/>
      <c r="L32" s="36"/>
      <c r="M32" s="36"/>
    </row>
    <row r="33" spans="1:15">
      <c r="A33" s="45"/>
      <c r="B33" s="45"/>
      <c r="C33" s="45"/>
      <c r="D33" s="46"/>
      <c r="E33" s="46"/>
      <c r="F33" s="46"/>
      <c r="G33" s="47"/>
      <c r="H33" s="46"/>
      <c r="I33" s="45"/>
      <c r="J33" s="45"/>
      <c r="K33" s="45"/>
      <c r="L33" s="45"/>
      <c r="M33" s="45"/>
      <c r="N33" s="45"/>
      <c r="O33" s="45"/>
    </row>
    <row r="34" spans="1:15">
      <c r="A34" s="45"/>
      <c r="B34" s="45"/>
      <c r="C34" s="45"/>
      <c r="D34" s="46"/>
      <c r="E34" s="46"/>
      <c r="F34" s="46"/>
      <c r="G34" s="47"/>
      <c r="H34" s="46"/>
      <c r="I34" s="45"/>
      <c r="J34" s="45"/>
      <c r="K34" s="45"/>
      <c r="L34" s="45"/>
      <c r="M34" s="45"/>
      <c r="N34" s="45"/>
      <c r="O34" s="45"/>
    </row>
    <row r="35" spans="1:15">
      <c r="A35" s="48" t="s">
        <v>6</v>
      </c>
      <c r="B35" s="48"/>
      <c r="C35" s="49" t="s">
        <v>68</v>
      </c>
      <c r="D35" s="50"/>
      <c r="E35" s="50"/>
      <c r="F35" s="50"/>
      <c r="G35" s="51"/>
      <c r="H35" s="50"/>
      <c r="I35" s="49"/>
      <c r="J35" s="45"/>
      <c r="K35" s="52" t="s">
        <v>69</v>
      </c>
      <c r="L35" s="53"/>
      <c r="M35" s="53"/>
      <c r="N35" s="53"/>
      <c r="O35" s="53"/>
    </row>
    <row r="36" spans="1:15">
      <c r="A36" s="48" t="s">
        <v>8</v>
      </c>
      <c r="B36" s="48"/>
      <c r="C36" s="49" t="s">
        <v>70</v>
      </c>
      <c r="D36" s="50"/>
      <c r="E36" s="50"/>
      <c r="F36" s="50"/>
      <c r="G36" s="51"/>
      <c r="H36" s="50"/>
      <c r="I36" s="49"/>
      <c r="J36" s="45"/>
      <c r="K36" s="54" t="s">
        <v>2</v>
      </c>
      <c r="L36" s="54" t="s">
        <v>71</v>
      </c>
      <c r="M36" s="54" t="s">
        <v>72</v>
      </c>
      <c r="N36" s="54" t="s">
        <v>73</v>
      </c>
      <c r="O36" s="55" t="s">
        <v>3</v>
      </c>
    </row>
    <row r="37" spans="1:15">
      <c r="A37" s="48" t="s">
        <v>4</v>
      </c>
      <c r="B37" s="48"/>
      <c r="C37" s="49" t="s">
        <v>74</v>
      </c>
      <c r="D37" s="50"/>
      <c r="E37" s="50"/>
      <c r="F37" s="50"/>
      <c r="G37" s="51"/>
      <c r="H37" s="50"/>
      <c r="I37" s="49"/>
      <c r="J37" s="45"/>
      <c r="K37" s="32" t="s">
        <v>16</v>
      </c>
      <c r="L37" s="56">
        <v>0.08</v>
      </c>
      <c r="M37" s="56">
        <v>0.01</v>
      </c>
      <c r="N37" s="56">
        <v>0.02</v>
      </c>
      <c r="O37" s="36">
        <v>5000000</v>
      </c>
    </row>
    <row r="38" spans="1:15">
      <c r="A38" s="48" t="s">
        <v>59</v>
      </c>
      <c r="B38" s="48"/>
      <c r="C38" s="49" t="s">
        <v>75</v>
      </c>
      <c r="D38" s="50"/>
      <c r="E38" s="50"/>
      <c r="F38" s="50"/>
      <c r="G38" s="51"/>
      <c r="H38" s="50"/>
      <c r="I38" s="49"/>
      <c r="J38" s="45"/>
      <c r="K38" s="32" t="s">
        <v>18</v>
      </c>
      <c r="L38" s="56">
        <v>0.1</v>
      </c>
      <c r="M38" s="56">
        <v>0.01</v>
      </c>
      <c r="N38" s="56">
        <v>0.02</v>
      </c>
      <c r="O38" s="36">
        <v>6500000</v>
      </c>
    </row>
    <row r="39" spans="1:15">
      <c r="A39" s="48" t="s">
        <v>60</v>
      </c>
      <c r="B39" s="48"/>
      <c r="C39" s="49" t="s">
        <v>76</v>
      </c>
      <c r="D39" s="50"/>
      <c r="E39" s="50"/>
      <c r="F39" s="50"/>
      <c r="G39" s="51"/>
      <c r="H39" s="50"/>
      <c r="I39" s="49"/>
      <c r="J39" s="45"/>
      <c r="K39" s="32" t="s">
        <v>12</v>
      </c>
      <c r="L39" s="56">
        <v>0.12</v>
      </c>
      <c r="M39" s="56">
        <v>0.01</v>
      </c>
      <c r="N39" s="56">
        <v>0.02</v>
      </c>
      <c r="O39" s="36">
        <v>6000000</v>
      </c>
    </row>
    <row r="40" spans="1:15">
      <c r="A40" s="48" t="s">
        <v>61</v>
      </c>
      <c r="B40" s="49"/>
      <c r="C40" s="49" t="s">
        <v>77</v>
      </c>
      <c r="D40" s="50"/>
      <c r="E40" s="50"/>
      <c r="F40" s="50"/>
      <c r="G40" s="51"/>
      <c r="H40" s="50"/>
      <c r="I40" s="49"/>
      <c r="J40" s="45"/>
      <c r="K40" s="32" t="s">
        <v>26</v>
      </c>
      <c r="L40" s="56">
        <v>0.09</v>
      </c>
      <c r="M40" s="56">
        <v>0.01</v>
      </c>
      <c r="N40" s="56">
        <v>0.02</v>
      </c>
      <c r="O40" s="36">
        <v>5000000</v>
      </c>
    </row>
    <row r="41" spans="1:15">
      <c r="A41" s="48" t="s">
        <v>9</v>
      </c>
      <c r="B41" s="49"/>
      <c r="C41" s="49" t="s">
        <v>78</v>
      </c>
      <c r="D41" s="50"/>
      <c r="E41" s="50"/>
      <c r="F41" s="50"/>
      <c r="G41" s="51"/>
      <c r="H41" s="50"/>
      <c r="I41" s="49"/>
      <c r="J41" s="45"/>
      <c r="K41" s="32" t="s">
        <v>14</v>
      </c>
      <c r="L41" s="56">
        <v>7.0000000000000007E-2</v>
      </c>
      <c r="M41" s="56">
        <v>0.01</v>
      </c>
      <c r="N41" s="56">
        <v>0.02</v>
      </c>
      <c r="O41" s="36">
        <v>6000000</v>
      </c>
    </row>
    <row r="42" spans="1:15">
      <c r="A42" s="48" t="s">
        <v>10</v>
      </c>
      <c r="B42" s="49"/>
      <c r="C42" s="49" t="s">
        <v>79</v>
      </c>
      <c r="D42" s="50"/>
      <c r="E42" s="50"/>
      <c r="F42" s="50"/>
      <c r="G42" s="51"/>
      <c r="H42" s="50"/>
      <c r="I42" s="49"/>
      <c r="J42" s="45"/>
      <c r="K42" s="45"/>
      <c r="L42" s="45"/>
      <c r="M42" s="45"/>
      <c r="N42" s="45"/>
      <c r="O42" s="45"/>
    </row>
  </sheetData>
  <mergeCells count="7">
    <mergeCell ref="K35:O35"/>
    <mergeCell ref="A27:C27"/>
    <mergeCell ref="A28:C28"/>
    <mergeCell ref="A29:C29"/>
    <mergeCell ref="A30:C30"/>
    <mergeCell ref="A31:C31"/>
    <mergeCell ref="A32:C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4676-186D-4B0E-95C5-2AC50451260B}">
  <dimension ref="A1:P41"/>
  <sheetViews>
    <sheetView workbookViewId="0">
      <selection activeCell="C30" sqref="C30"/>
    </sheetView>
  </sheetViews>
  <sheetFormatPr defaultRowHeight="15"/>
  <cols>
    <col min="1" max="1" width="3.5703125" bestFit="1" customWidth="1"/>
    <col min="2" max="2" width="10.7109375" bestFit="1" customWidth="1"/>
    <col min="3" max="3" width="17" bestFit="1" customWidth="1"/>
    <col min="4" max="4" width="12.85546875" bestFit="1" customWidth="1"/>
    <col min="5" max="5" width="14.5703125" bestFit="1" customWidth="1"/>
    <col min="6" max="6" width="15" bestFit="1" customWidth="1"/>
    <col min="7" max="7" width="13.140625" bestFit="1" customWidth="1"/>
    <col min="8" max="8" width="15.42578125" bestFit="1" customWidth="1"/>
    <col min="9" max="9" width="16.5703125" bestFit="1" customWidth="1"/>
    <col min="10" max="10" width="14.28515625" bestFit="1" customWidth="1"/>
    <col min="11" max="11" width="12.85546875" bestFit="1" customWidth="1"/>
    <col min="12" max="12" width="17.5703125" bestFit="1" customWidth="1"/>
    <col min="16" max="16" width="13.140625" bestFit="1" customWidth="1"/>
  </cols>
  <sheetData>
    <row r="1" spans="1:16">
      <c r="A1" s="23" t="s">
        <v>0</v>
      </c>
      <c r="B1" s="23" t="s">
        <v>80</v>
      </c>
      <c r="C1" s="23" t="s">
        <v>81</v>
      </c>
      <c r="D1" s="57" t="s">
        <v>82</v>
      </c>
      <c r="E1" s="57" t="s">
        <v>83</v>
      </c>
      <c r="F1" s="23" t="s">
        <v>84</v>
      </c>
      <c r="G1" s="23" t="s">
        <v>85</v>
      </c>
      <c r="H1" s="23" t="s">
        <v>86</v>
      </c>
      <c r="I1" s="23" t="s">
        <v>87</v>
      </c>
      <c r="J1" s="23" t="s">
        <v>88</v>
      </c>
      <c r="K1" s="23" t="s">
        <v>8</v>
      </c>
      <c r="L1" s="23" t="s">
        <v>89</v>
      </c>
    </row>
    <row r="2" spans="1:16">
      <c r="A2" s="58">
        <v>1</v>
      </c>
      <c r="B2" s="59">
        <v>45931</v>
      </c>
      <c r="C2" s="58" t="s">
        <v>90</v>
      </c>
      <c r="D2" s="60" t="s">
        <v>91</v>
      </c>
      <c r="E2" s="60">
        <v>8</v>
      </c>
      <c r="F2" s="58" t="str">
        <f>VLOOKUP(D2,$N$2:$P$12,2,FALSE)</f>
        <v>Laptop X1</v>
      </c>
      <c r="G2" s="29">
        <f>VLOOKUP(D2,$N$2:$P$12,3,FALSE)</f>
        <v>7500000</v>
      </c>
      <c r="H2" s="8">
        <f>E2*G2</f>
        <v>60000000</v>
      </c>
      <c r="I2" s="61">
        <f>IF(F2="Laptop X1",60000000,IF(F2="Printer Z3",25000000,IF(F2="Monitor 24""",12000000,15000000)))</f>
        <v>60000000</v>
      </c>
      <c r="J2" s="60">
        <f>ROUND((H2/I2)*100,2)</f>
        <v>100</v>
      </c>
      <c r="K2" s="29">
        <f>IF(J2&gt;=100,H2*10%,IF(J2&gt;=90,H2*5%,IF(J2&lt;100,5%,H2*2%)))</f>
        <v>6000000</v>
      </c>
      <c r="L2" s="58" t="str">
        <f>IF(J2&gt;=100,"Sangat Baik",IF(J2&gt;=90,"Baik",IF(J2&gt;=80,"Cukup","Perlu Ditingkatkan")))</f>
        <v>Sangat Baik</v>
      </c>
      <c r="N2" s="62" t="s">
        <v>82</v>
      </c>
      <c r="O2" s="62" t="s">
        <v>84</v>
      </c>
      <c r="P2" s="62" t="s">
        <v>85</v>
      </c>
    </row>
    <row r="3" spans="1:16">
      <c r="A3" s="58">
        <v>2</v>
      </c>
      <c r="B3" s="59">
        <v>45931</v>
      </c>
      <c r="C3" s="58" t="s">
        <v>92</v>
      </c>
      <c r="D3" s="60" t="s">
        <v>93</v>
      </c>
      <c r="E3" s="60">
        <v>15</v>
      </c>
      <c r="F3" s="58" t="str">
        <f t="shared" ref="F3:F26" si="0">VLOOKUP(D3,$N$2:$P$12,2,FALSE)</f>
        <v>Mouse MX</v>
      </c>
      <c r="G3" s="29">
        <f t="shared" ref="G3:G26" si="1">VLOOKUP(D3,$N$2:$P$12,3,FALSE)</f>
        <v>150000</v>
      </c>
      <c r="H3" s="8">
        <f t="shared" ref="H3:H26" si="2">E3*G3</f>
        <v>2250000</v>
      </c>
      <c r="I3" s="61">
        <f>IF(F3="Laptop X1",60000000,IF(F3="Printer Z3",25000000,IF(F3="Monitor 24""",12000000,15000000)))</f>
        <v>15000000</v>
      </c>
      <c r="J3" s="60">
        <f t="shared" ref="J3:J26" si="3">ROUND((H3/I3)*100,2)</f>
        <v>15</v>
      </c>
      <c r="K3" s="29">
        <f t="shared" ref="K3:K26" si="4">IF(J3&gt;=100,H3*10%,IF(J3&gt;=90,H3*5%,IF(J3&lt;100,5%,H3*2%)))</f>
        <v>0.05</v>
      </c>
      <c r="L3" s="58" t="str">
        <f t="shared" ref="L3:L26" si="5">IF(J3&gt;=100,"Sangat Baik",IF(J3&gt;=90,"Baik",IF(J3&gt;=80,"Cukup","Perlu Ditingkatkan")))</f>
        <v>Perlu Ditingkatkan</v>
      </c>
      <c r="N3" s="58" t="s">
        <v>91</v>
      </c>
      <c r="O3" s="58" t="s">
        <v>94</v>
      </c>
      <c r="P3" s="63">
        <v>7500000</v>
      </c>
    </row>
    <row r="4" spans="1:16">
      <c r="A4" s="58">
        <v>3</v>
      </c>
      <c r="B4" s="59">
        <v>45932</v>
      </c>
      <c r="C4" s="58" t="s">
        <v>95</v>
      </c>
      <c r="D4" s="60" t="s">
        <v>96</v>
      </c>
      <c r="E4" s="60">
        <v>10</v>
      </c>
      <c r="F4" s="58" t="str">
        <f t="shared" si="0"/>
        <v>Printer Z3</v>
      </c>
      <c r="G4" s="29">
        <f t="shared" si="1"/>
        <v>2500000</v>
      </c>
      <c r="H4" s="8">
        <f t="shared" si="2"/>
        <v>25000000</v>
      </c>
      <c r="I4" s="61">
        <f t="shared" ref="I4:I26" si="6">IF(F4="Laptop X1",60000000,IF(F4="Printer Z3",25000000,IF(F4="Monitor 24""",12000000,15000000)))</f>
        <v>25000000</v>
      </c>
      <c r="J4" s="60">
        <f t="shared" si="3"/>
        <v>100</v>
      </c>
      <c r="K4" s="29">
        <f t="shared" si="4"/>
        <v>2500000</v>
      </c>
      <c r="L4" s="58" t="str">
        <f t="shared" si="5"/>
        <v>Sangat Baik</v>
      </c>
      <c r="N4" s="58" t="s">
        <v>96</v>
      </c>
      <c r="O4" s="58" t="s">
        <v>97</v>
      </c>
      <c r="P4" s="63">
        <v>2500000</v>
      </c>
    </row>
    <row r="5" spans="1:16">
      <c r="A5" s="58">
        <v>4</v>
      </c>
      <c r="B5" s="59">
        <v>45932</v>
      </c>
      <c r="C5" s="58" t="s">
        <v>98</v>
      </c>
      <c r="D5" s="60" t="s">
        <v>99</v>
      </c>
      <c r="E5" s="60">
        <v>12</v>
      </c>
      <c r="F5" s="58" t="str">
        <f t="shared" si="0"/>
        <v>Keyboard K5</v>
      </c>
      <c r="G5" s="29">
        <f t="shared" si="1"/>
        <v>250000</v>
      </c>
      <c r="H5" s="8">
        <f t="shared" si="2"/>
        <v>3000000</v>
      </c>
      <c r="I5" s="61">
        <f t="shared" si="6"/>
        <v>15000000</v>
      </c>
      <c r="J5" s="60">
        <f t="shared" si="3"/>
        <v>20</v>
      </c>
      <c r="K5" s="29">
        <f t="shared" si="4"/>
        <v>0.05</v>
      </c>
      <c r="L5" s="58" t="str">
        <f t="shared" si="5"/>
        <v>Perlu Ditingkatkan</v>
      </c>
      <c r="N5" s="58" t="s">
        <v>93</v>
      </c>
      <c r="O5" s="58" t="s">
        <v>100</v>
      </c>
      <c r="P5" s="63">
        <v>150000</v>
      </c>
    </row>
    <row r="6" spans="1:16">
      <c r="A6" s="58">
        <v>5</v>
      </c>
      <c r="B6" s="59">
        <v>45933</v>
      </c>
      <c r="C6" s="58" t="s">
        <v>101</v>
      </c>
      <c r="D6" s="60" t="s">
        <v>102</v>
      </c>
      <c r="E6" s="60">
        <v>6</v>
      </c>
      <c r="F6" s="58" t="str">
        <f t="shared" si="0"/>
        <v>Monitor 24"</v>
      </c>
      <c r="G6" s="29">
        <f t="shared" si="1"/>
        <v>2000000</v>
      </c>
      <c r="H6" s="8">
        <f t="shared" si="2"/>
        <v>12000000</v>
      </c>
      <c r="I6" s="61">
        <f t="shared" si="6"/>
        <v>12000000</v>
      </c>
      <c r="J6" s="60">
        <f t="shared" si="3"/>
        <v>100</v>
      </c>
      <c r="K6" s="29">
        <f t="shared" si="4"/>
        <v>1200000</v>
      </c>
      <c r="L6" s="58" t="str">
        <f t="shared" si="5"/>
        <v>Sangat Baik</v>
      </c>
      <c r="N6" s="58" t="s">
        <v>99</v>
      </c>
      <c r="O6" s="58" t="s">
        <v>103</v>
      </c>
      <c r="P6" s="63">
        <v>250000</v>
      </c>
    </row>
    <row r="7" spans="1:16">
      <c r="A7" s="58">
        <v>6</v>
      </c>
      <c r="B7" s="59">
        <v>45933</v>
      </c>
      <c r="C7" s="58" t="s">
        <v>104</v>
      </c>
      <c r="D7" s="60" t="s">
        <v>105</v>
      </c>
      <c r="E7" s="60">
        <v>25</v>
      </c>
      <c r="F7" s="58" t="str">
        <f t="shared" si="0"/>
        <v>Flashdisk 64GB</v>
      </c>
      <c r="G7" s="29">
        <f t="shared" si="1"/>
        <v>100000</v>
      </c>
      <c r="H7" s="8">
        <f t="shared" si="2"/>
        <v>2500000</v>
      </c>
      <c r="I7" s="61">
        <f t="shared" si="6"/>
        <v>15000000</v>
      </c>
      <c r="J7" s="60">
        <f t="shared" si="3"/>
        <v>16.670000000000002</v>
      </c>
      <c r="K7" s="29">
        <f t="shared" si="4"/>
        <v>0.05</v>
      </c>
      <c r="L7" s="58" t="str">
        <f t="shared" si="5"/>
        <v>Perlu Ditingkatkan</v>
      </c>
      <c r="N7" s="58" t="s">
        <v>102</v>
      </c>
      <c r="O7" s="58" t="s">
        <v>106</v>
      </c>
      <c r="P7" s="63">
        <v>2000000</v>
      </c>
    </row>
    <row r="8" spans="1:16">
      <c r="A8" s="58">
        <v>7</v>
      </c>
      <c r="B8" s="59">
        <v>45934</v>
      </c>
      <c r="C8" s="58" t="s">
        <v>107</v>
      </c>
      <c r="D8" s="60" t="s">
        <v>108</v>
      </c>
      <c r="E8" s="60">
        <v>9</v>
      </c>
      <c r="F8" s="58" t="str">
        <f t="shared" si="0"/>
        <v>Headset HD9</v>
      </c>
      <c r="G8" s="29">
        <f t="shared" si="1"/>
        <v>300000</v>
      </c>
      <c r="H8" s="8">
        <f t="shared" si="2"/>
        <v>2700000</v>
      </c>
      <c r="I8" s="61">
        <f t="shared" si="6"/>
        <v>15000000</v>
      </c>
      <c r="J8" s="60">
        <f t="shared" si="3"/>
        <v>18</v>
      </c>
      <c r="K8" s="29">
        <f t="shared" si="4"/>
        <v>0.05</v>
      </c>
      <c r="L8" s="58" t="str">
        <f t="shared" si="5"/>
        <v>Perlu Ditingkatkan</v>
      </c>
      <c r="N8" s="58" t="s">
        <v>105</v>
      </c>
      <c r="O8" s="58" t="s">
        <v>109</v>
      </c>
      <c r="P8" s="63">
        <v>100000</v>
      </c>
    </row>
    <row r="9" spans="1:16">
      <c r="A9" s="58">
        <v>8</v>
      </c>
      <c r="B9" s="59">
        <v>45934</v>
      </c>
      <c r="C9" s="58" t="s">
        <v>110</v>
      </c>
      <c r="D9" s="60" t="s">
        <v>111</v>
      </c>
      <c r="E9" s="60">
        <v>5</v>
      </c>
      <c r="F9" s="58" t="str">
        <f t="shared" si="0"/>
        <v>Proyektor Luma</v>
      </c>
      <c r="G9" s="29">
        <f t="shared" si="1"/>
        <v>4500000</v>
      </c>
      <c r="H9" s="8">
        <f t="shared" si="2"/>
        <v>22500000</v>
      </c>
      <c r="I9" s="61">
        <f t="shared" si="6"/>
        <v>15000000</v>
      </c>
      <c r="J9" s="60">
        <f t="shared" si="3"/>
        <v>150</v>
      </c>
      <c r="K9" s="29">
        <f t="shared" si="4"/>
        <v>2250000</v>
      </c>
      <c r="L9" s="58" t="str">
        <f t="shared" si="5"/>
        <v>Sangat Baik</v>
      </c>
      <c r="N9" s="58" t="s">
        <v>108</v>
      </c>
      <c r="O9" s="58" t="s">
        <v>112</v>
      </c>
      <c r="P9" s="63">
        <v>300000</v>
      </c>
    </row>
    <row r="10" spans="1:16">
      <c r="A10" s="58">
        <v>9</v>
      </c>
      <c r="B10" s="59">
        <v>45935</v>
      </c>
      <c r="C10" s="58" t="s">
        <v>113</v>
      </c>
      <c r="D10" s="60" t="s">
        <v>114</v>
      </c>
      <c r="E10" s="60">
        <v>10</v>
      </c>
      <c r="F10" s="58" t="str">
        <f t="shared" si="0"/>
        <v>Router AX3000</v>
      </c>
      <c r="G10" s="29">
        <f t="shared" si="1"/>
        <v>1200000</v>
      </c>
      <c r="H10" s="8">
        <f t="shared" si="2"/>
        <v>12000000</v>
      </c>
      <c r="I10" s="61">
        <f t="shared" si="6"/>
        <v>15000000</v>
      </c>
      <c r="J10" s="60">
        <f t="shared" si="3"/>
        <v>80</v>
      </c>
      <c r="K10" s="29">
        <f t="shared" si="4"/>
        <v>0.05</v>
      </c>
      <c r="L10" s="58" t="str">
        <f t="shared" si="5"/>
        <v>Cukup</v>
      </c>
      <c r="N10" s="58" t="s">
        <v>111</v>
      </c>
      <c r="O10" s="58" t="s">
        <v>115</v>
      </c>
      <c r="P10" s="63">
        <v>4500000</v>
      </c>
    </row>
    <row r="11" spans="1:16">
      <c r="A11" s="58">
        <v>10</v>
      </c>
      <c r="B11" s="59">
        <v>45935</v>
      </c>
      <c r="C11" s="58" t="s">
        <v>116</v>
      </c>
      <c r="D11" s="60" t="s">
        <v>117</v>
      </c>
      <c r="E11" s="60">
        <v>8</v>
      </c>
      <c r="F11" s="58" t="str">
        <f t="shared" si="0"/>
        <v>Speaker SP5</v>
      </c>
      <c r="G11" s="29">
        <f t="shared" si="1"/>
        <v>500000</v>
      </c>
      <c r="H11" s="8">
        <f t="shared" si="2"/>
        <v>4000000</v>
      </c>
      <c r="I11" s="61">
        <f t="shared" si="6"/>
        <v>15000000</v>
      </c>
      <c r="J11" s="60">
        <f t="shared" si="3"/>
        <v>26.67</v>
      </c>
      <c r="K11" s="29">
        <f t="shared" si="4"/>
        <v>0.05</v>
      </c>
      <c r="L11" s="58" t="str">
        <f t="shared" si="5"/>
        <v>Perlu Ditingkatkan</v>
      </c>
      <c r="N11" s="58" t="s">
        <v>114</v>
      </c>
      <c r="O11" s="58" t="s">
        <v>118</v>
      </c>
      <c r="P11" s="63">
        <v>1200000</v>
      </c>
    </row>
    <row r="12" spans="1:16">
      <c r="A12" s="58">
        <v>11</v>
      </c>
      <c r="B12" s="59">
        <v>45936</v>
      </c>
      <c r="C12" s="58" t="s">
        <v>119</v>
      </c>
      <c r="D12" s="60" t="s">
        <v>96</v>
      </c>
      <c r="E12" s="60">
        <v>11</v>
      </c>
      <c r="F12" s="58" t="str">
        <f t="shared" si="0"/>
        <v>Printer Z3</v>
      </c>
      <c r="G12" s="29">
        <f t="shared" si="1"/>
        <v>2500000</v>
      </c>
      <c r="H12" s="8">
        <f t="shared" si="2"/>
        <v>27500000</v>
      </c>
      <c r="I12" s="61">
        <f t="shared" si="6"/>
        <v>25000000</v>
      </c>
      <c r="J12" s="60">
        <f t="shared" si="3"/>
        <v>110</v>
      </c>
      <c r="K12" s="29">
        <f t="shared" si="4"/>
        <v>2750000</v>
      </c>
      <c r="L12" s="58" t="str">
        <f t="shared" si="5"/>
        <v>Sangat Baik</v>
      </c>
      <c r="N12" s="58" t="s">
        <v>117</v>
      </c>
      <c r="O12" s="58" t="s">
        <v>120</v>
      </c>
      <c r="P12" s="63">
        <v>500000</v>
      </c>
    </row>
    <row r="13" spans="1:16">
      <c r="A13" s="58">
        <v>12</v>
      </c>
      <c r="B13" s="59">
        <v>45936</v>
      </c>
      <c r="C13" s="58" t="s">
        <v>121</v>
      </c>
      <c r="D13" s="60" t="s">
        <v>91</v>
      </c>
      <c r="E13" s="60">
        <v>7</v>
      </c>
      <c r="F13" s="58" t="str">
        <f t="shared" si="0"/>
        <v>Laptop X1</v>
      </c>
      <c r="G13" s="29">
        <f t="shared" si="1"/>
        <v>7500000</v>
      </c>
      <c r="H13" s="8">
        <f t="shared" si="2"/>
        <v>52500000</v>
      </c>
      <c r="I13" s="61">
        <f t="shared" si="6"/>
        <v>60000000</v>
      </c>
      <c r="J13" s="60">
        <f t="shared" si="3"/>
        <v>87.5</v>
      </c>
      <c r="K13" s="29">
        <f t="shared" si="4"/>
        <v>0.05</v>
      </c>
      <c r="L13" s="58" t="str">
        <f t="shared" si="5"/>
        <v>Cukup</v>
      </c>
    </row>
    <row r="14" spans="1:16">
      <c r="A14" s="58">
        <v>13</v>
      </c>
      <c r="B14" s="59">
        <v>45937</v>
      </c>
      <c r="C14" s="58" t="s">
        <v>122</v>
      </c>
      <c r="D14" s="60" t="s">
        <v>93</v>
      </c>
      <c r="E14" s="60">
        <v>18</v>
      </c>
      <c r="F14" s="58" t="str">
        <f t="shared" si="0"/>
        <v>Mouse MX</v>
      </c>
      <c r="G14" s="29">
        <f t="shared" si="1"/>
        <v>150000</v>
      </c>
      <c r="H14" s="8">
        <f t="shared" si="2"/>
        <v>2700000</v>
      </c>
      <c r="I14" s="61">
        <f t="shared" si="6"/>
        <v>15000000</v>
      </c>
      <c r="J14" s="60">
        <f t="shared" si="3"/>
        <v>18</v>
      </c>
      <c r="K14" s="29">
        <f t="shared" si="4"/>
        <v>0.05</v>
      </c>
      <c r="L14" s="58" t="str">
        <f t="shared" si="5"/>
        <v>Perlu Ditingkatkan</v>
      </c>
    </row>
    <row r="15" spans="1:16">
      <c r="A15" s="58">
        <v>14</v>
      </c>
      <c r="B15" s="59">
        <v>45937</v>
      </c>
      <c r="C15" s="58" t="s">
        <v>123</v>
      </c>
      <c r="D15" s="60" t="s">
        <v>99</v>
      </c>
      <c r="E15" s="60">
        <v>13</v>
      </c>
      <c r="F15" s="58" t="str">
        <f t="shared" si="0"/>
        <v>Keyboard K5</v>
      </c>
      <c r="G15" s="29">
        <f t="shared" si="1"/>
        <v>250000</v>
      </c>
      <c r="H15" s="8">
        <f t="shared" si="2"/>
        <v>3250000</v>
      </c>
      <c r="I15" s="61">
        <f t="shared" si="6"/>
        <v>15000000</v>
      </c>
      <c r="J15" s="60">
        <f t="shared" si="3"/>
        <v>21.67</v>
      </c>
      <c r="K15" s="29">
        <f t="shared" si="4"/>
        <v>0.05</v>
      </c>
      <c r="L15" s="58" t="str">
        <f t="shared" si="5"/>
        <v>Perlu Ditingkatkan</v>
      </c>
    </row>
    <row r="16" spans="1:16">
      <c r="A16" s="58">
        <v>15</v>
      </c>
      <c r="B16" s="59">
        <v>45938</v>
      </c>
      <c r="C16" s="58" t="s">
        <v>124</v>
      </c>
      <c r="D16" s="60" t="s">
        <v>102</v>
      </c>
      <c r="E16" s="60">
        <v>8</v>
      </c>
      <c r="F16" s="58" t="str">
        <f t="shared" si="0"/>
        <v>Monitor 24"</v>
      </c>
      <c r="G16" s="29">
        <f t="shared" si="1"/>
        <v>2000000</v>
      </c>
      <c r="H16" s="8">
        <f t="shared" si="2"/>
        <v>16000000</v>
      </c>
      <c r="I16" s="61">
        <f t="shared" si="6"/>
        <v>12000000</v>
      </c>
      <c r="J16" s="60">
        <f t="shared" si="3"/>
        <v>133.33000000000001</v>
      </c>
      <c r="K16" s="29">
        <f t="shared" si="4"/>
        <v>1600000</v>
      </c>
      <c r="L16" s="58" t="str">
        <f t="shared" si="5"/>
        <v>Sangat Baik</v>
      </c>
    </row>
    <row r="17" spans="1:12">
      <c r="A17" s="58">
        <v>16</v>
      </c>
      <c r="B17" s="59">
        <v>45938</v>
      </c>
      <c r="C17" s="58" t="s">
        <v>125</v>
      </c>
      <c r="D17" s="60" t="s">
        <v>105</v>
      </c>
      <c r="E17" s="60">
        <v>30</v>
      </c>
      <c r="F17" s="58" t="str">
        <f t="shared" si="0"/>
        <v>Flashdisk 64GB</v>
      </c>
      <c r="G17" s="29">
        <f t="shared" si="1"/>
        <v>100000</v>
      </c>
      <c r="H17" s="8">
        <f t="shared" si="2"/>
        <v>3000000</v>
      </c>
      <c r="I17" s="61">
        <f t="shared" si="6"/>
        <v>15000000</v>
      </c>
      <c r="J17" s="60">
        <f t="shared" si="3"/>
        <v>20</v>
      </c>
      <c r="K17" s="29">
        <f t="shared" si="4"/>
        <v>0.05</v>
      </c>
      <c r="L17" s="58" t="str">
        <f t="shared" si="5"/>
        <v>Perlu Ditingkatkan</v>
      </c>
    </row>
    <row r="18" spans="1:12">
      <c r="A18" s="58">
        <v>17</v>
      </c>
      <c r="B18" s="59">
        <v>45939</v>
      </c>
      <c r="C18" s="58" t="s">
        <v>126</v>
      </c>
      <c r="D18" s="60" t="s">
        <v>108</v>
      </c>
      <c r="E18" s="60">
        <v>12</v>
      </c>
      <c r="F18" s="58" t="str">
        <f t="shared" si="0"/>
        <v>Headset HD9</v>
      </c>
      <c r="G18" s="29">
        <f t="shared" si="1"/>
        <v>300000</v>
      </c>
      <c r="H18" s="8">
        <f t="shared" si="2"/>
        <v>3600000</v>
      </c>
      <c r="I18" s="61">
        <f t="shared" si="6"/>
        <v>15000000</v>
      </c>
      <c r="J18" s="60">
        <f t="shared" si="3"/>
        <v>24</v>
      </c>
      <c r="K18" s="29">
        <f t="shared" si="4"/>
        <v>0.05</v>
      </c>
      <c r="L18" s="58" t="str">
        <f t="shared" si="5"/>
        <v>Perlu Ditingkatkan</v>
      </c>
    </row>
    <row r="19" spans="1:12">
      <c r="A19" s="58">
        <v>18</v>
      </c>
      <c r="B19" s="59">
        <v>45939</v>
      </c>
      <c r="C19" s="58" t="s">
        <v>127</v>
      </c>
      <c r="D19" s="60" t="s">
        <v>111</v>
      </c>
      <c r="E19" s="60">
        <v>6</v>
      </c>
      <c r="F19" s="58" t="str">
        <f t="shared" si="0"/>
        <v>Proyektor Luma</v>
      </c>
      <c r="G19" s="29">
        <f t="shared" si="1"/>
        <v>4500000</v>
      </c>
      <c r="H19" s="8">
        <f t="shared" si="2"/>
        <v>27000000</v>
      </c>
      <c r="I19" s="61">
        <f t="shared" si="6"/>
        <v>15000000</v>
      </c>
      <c r="J19" s="60">
        <f t="shared" si="3"/>
        <v>180</v>
      </c>
      <c r="K19" s="29">
        <f t="shared" si="4"/>
        <v>2700000</v>
      </c>
      <c r="L19" s="58" t="str">
        <f t="shared" si="5"/>
        <v>Sangat Baik</v>
      </c>
    </row>
    <row r="20" spans="1:12">
      <c r="A20" s="58">
        <v>19</v>
      </c>
      <c r="B20" s="59">
        <v>45940</v>
      </c>
      <c r="C20" s="58" t="s">
        <v>128</v>
      </c>
      <c r="D20" s="60" t="s">
        <v>114</v>
      </c>
      <c r="E20" s="60">
        <v>15</v>
      </c>
      <c r="F20" s="58" t="str">
        <f t="shared" si="0"/>
        <v>Router AX3000</v>
      </c>
      <c r="G20" s="29">
        <f t="shared" si="1"/>
        <v>1200000</v>
      </c>
      <c r="H20" s="8">
        <f t="shared" si="2"/>
        <v>18000000</v>
      </c>
      <c r="I20" s="61">
        <f t="shared" si="6"/>
        <v>15000000</v>
      </c>
      <c r="J20" s="60">
        <f t="shared" si="3"/>
        <v>120</v>
      </c>
      <c r="K20" s="29">
        <f t="shared" si="4"/>
        <v>1800000</v>
      </c>
      <c r="L20" s="58" t="str">
        <f t="shared" si="5"/>
        <v>Sangat Baik</v>
      </c>
    </row>
    <row r="21" spans="1:12">
      <c r="A21" s="58">
        <v>20</v>
      </c>
      <c r="B21" s="59">
        <v>45940</v>
      </c>
      <c r="C21" s="58" t="s">
        <v>129</v>
      </c>
      <c r="D21" s="60" t="s">
        <v>117</v>
      </c>
      <c r="E21" s="60">
        <v>10</v>
      </c>
      <c r="F21" s="58" t="str">
        <f t="shared" si="0"/>
        <v>Speaker SP5</v>
      </c>
      <c r="G21" s="29">
        <f t="shared" si="1"/>
        <v>500000</v>
      </c>
      <c r="H21" s="8">
        <f t="shared" si="2"/>
        <v>5000000</v>
      </c>
      <c r="I21" s="61">
        <f t="shared" si="6"/>
        <v>15000000</v>
      </c>
      <c r="J21" s="60">
        <f t="shared" si="3"/>
        <v>33.33</v>
      </c>
      <c r="K21" s="29">
        <f t="shared" si="4"/>
        <v>0.05</v>
      </c>
      <c r="L21" s="58" t="str">
        <f t="shared" si="5"/>
        <v>Perlu Ditingkatkan</v>
      </c>
    </row>
    <row r="22" spans="1:12">
      <c r="A22" s="58">
        <v>21</v>
      </c>
      <c r="B22" s="59">
        <v>45941</v>
      </c>
      <c r="C22" s="58" t="s">
        <v>130</v>
      </c>
      <c r="D22" s="60" t="s">
        <v>91</v>
      </c>
      <c r="E22" s="60">
        <v>9</v>
      </c>
      <c r="F22" s="58" t="str">
        <f t="shared" si="0"/>
        <v>Laptop X1</v>
      </c>
      <c r="G22" s="29">
        <f t="shared" si="1"/>
        <v>7500000</v>
      </c>
      <c r="H22" s="8">
        <f t="shared" si="2"/>
        <v>67500000</v>
      </c>
      <c r="I22" s="61">
        <f t="shared" si="6"/>
        <v>60000000</v>
      </c>
      <c r="J22" s="60">
        <f t="shared" si="3"/>
        <v>112.5</v>
      </c>
      <c r="K22" s="29">
        <f t="shared" si="4"/>
        <v>6750000</v>
      </c>
      <c r="L22" s="58" t="str">
        <f t="shared" si="5"/>
        <v>Sangat Baik</v>
      </c>
    </row>
    <row r="23" spans="1:12">
      <c r="A23" s="58">
        <v>22</v>
      </c>
      <c r="B23" s="59">
        <v>45941</v>
      </c>
      <c r="C23" s="58" t="s">
        <v>131</v>
      </c>
      <c r="D23" s="60" t="s">
        <v>93</v>
      </c>
      <c r="E23" s="60">
        <v>16</v>
      </c>
      <c r="F23" s="58" t="str">
        <f t="shared" si="0"/>
        <v>Mouse MX</v>
      </c>
      <c r="G23" s="29">
        <f t="shared" si="1"/>
        <v>150000</v>
      </c>
      <c r="H23" s="8">
        <f t="shared" si="2"/>
        <v>2400000</v>
      </c>
      <c r="I23" s="61">
        <f t="shared" si="6"/>
        <v>15000000</v>
      </c>
      <c r="J23" s="60">
        <f t="shared" si="3"/>
        <v>16</v>
      </c>
      <c r="K23" s="29">
        <f t="shared" si="4"/>
        <v>0.05</v>
      </c>
      <c r="L23" s="58" t="str">
        <f t="shared" si="5"/>
        <v>Perlu Ditingkatkan</v>
      </c>
    </row>
    <row r="24" spans="1:12">
      <c r="A24" s="58">
        <v>23</v>
      </c>
      <c r="B24" s="59">
        <v>45942</v>
      </c>
      <c r="C24" s="58" t="s">
        <v>132</v>
      </c>
      <c r="D24" s="60" t="s">
        <v>99</v>
      </c>
      <c r="E24" s="60">
        <v>11</v>
      </c>
      <c r="F24" s="58" t="str">
        <f t="shared" si="0"/>
        <v>Keyboard K5</v>
      </c>
      <c r="G24" s="29">
        <f t="shared" si="1"/>
        <v>250000</v>
      </c>
      <c r="H24" s="8">
        <f t="shared" si="2"/>
        <v>2750000</v>
      </c>
      <c r="I24" s="61">
        <f t="shared" si="6"/>
        <v>15000000</v>
      </c>
      <c r="J24" s="60">
        <f t="shared" si="3"/>
        <v>18.329999999999998</v>
      </c>
      <c r="K24" s="29">
        <f t="shared" si="4"/>
        <v>0.05</v>
      </c>
      <c r="L24" s="58" t="str">
        <f t="shared" si="5"/>
        <v>Perlu Ditingkatkan</v>
      </c>
    </row>
    <row r="25" spans="1:12">
      <c r="A25" s="58">
        <v>24</v>
      </c>
      <c r="B25" s="59">
        <v>45942</v>
      </c>
      <c r="C25" s="58" t="s">
        <v>133</v>
      </c>
      <c r="D25" s="60" t="s">
        <v>102</v>
      </c>
      <c r="E25" s="60">
        <v>7</v>
      </c>
      <c r="F25" s="58" t="str">
        <f t="shared" si="0"/>
        <v>Monitor 24"</v>
      </c>
      <c r="G25" s="29">
        <f t="shared" si="1"/>
        <v>2000000</v>
      </c>
      <c r="H25" s="8">
        <f t="shared" si="2"/>
        <v>14000000</v>
      </c>
      <c r="I25" s="61">
        <f t="shared" si="6"/>
        <v>12000000</v>
      </c>
      <c r="J25" s="60">
        <f t="shared" si="3"/>
        <v>116.67</v>
      </c>
      <c r="K25" s="29">
        <f t="shared" si="4"/>
        <v>1400000</v>
      </c>
      <c r="L25" s="58" t="str">
        <f t="shared" si="5"/>
        <v>Sangat Baik</v>
      </c>
    </row>
    <row r="26" spans="1:12">
      <c r="A26" s="58">
        <v>25</v>
      </c>
      <c r="B26" s="59">
        <v>45943</v>
      </c>
      <c r="C26" s="58" t="s">
        <v>134</v>
      </c>
      <c r="D26" s="60" t="s">
        <v>96</v>
      </c>
      <c r="E26" s="60">
        <v>14</v>
      </c>
      <c r="F26" s="58" t="str">
        <f t="shared" si="0"/>
        <v>Printer Z3</v>
      </c>
      <c r="G26" s="29">
        <f t="shared" si="1"/>
        <v>2500000</v>
      </c>
      <c r="H26" s="8">
        <f t="shared" si="2"/>
        <v>35000000</v>
      </c>
      <c r="I26" s="61">
        <f t="shared" si="6"/>
        <v>25000000</v>
      </c>
      <c r="J26" s="60">
        <f t="shared" si="3"/>
        <v>140</v>
      </c>
      <c r="K26" s="29">
        <f t="shared" si="4"/>
        <v>3500000</v>
      </c>
      <c r="L26" s="58" t="str">
        <f t="shared" si="5"/>
        <v>Sangat Baik</v>
      </c>
    </row>
    <row r="28" spans="1:12">
      <c r="A28" s="64" t="s">
        <v>135</v>
      </c>
      <c r="B28" s="65"/>
      <c r="C28" s="66" t="s">
        <v>136</v>
      </c>
      <c r="D28" s="67"/>
      <c r="E28" s="67"/>
      <c r="F28" s="67"/>
    </row>
    <row r="29" spans="1:12">
      <c r="A29" s="64" t="s">
        <v>137</v>
      </c>
      <c r="B29" s="65"/>
      <c r="C29" s="66" t="s">
        <v>138</v>
      </c>
      <c r="D29" s="67"/>
      <c r="E29" s="67"/>
      <c r="F29" s="67"/>
    </row>
    <row r="30" spans="1:12">
      <c r="A30" s="64" t="s">
        <v>139</v>
      </c>
      <c r="B30" s="65"/>
      <c r="C30" s="66" t="s">
        <v>140</v>
      </c>
      <c r="D30" s="67"/>
      <c r="E30" s="67"/>
      <c r="F30" s="67"/>
    </row>
    <row r="31" spans="1:12">
      <c r="A31" s="64" t="s">
        <v>141</v>
      </c>
      <c r="B31" s="65"/>
      <c r="C31" s="66" t="s">
        <v>142</v>
      </c>
      <c r="D31" s="67"/>
      <c r="E31" s="67"/>
      <c r="F31" s="67"/>
    </row>
    <row r="32" spans="1:12">
      <c r="A32" s="64" t="s">
        <v>88</v>
      </c>
      <c r="B32" s="65"/>
      <c r="C32" s="66" t="s">
        <v>143</v>
      </c>
      <c r="D32" s="67"/>
      <c r="E32" s="67"/>
      <c r="F32" s="67"/>
    </row>
    <row r="33" spans="1:6">
      <c r="A33" s="64" t="s">
        <v>8</v>
      </c>
      <c r="B33" s="65"/>
      <c r="C33" s="65"/>
      <c r="D33" s="67"/>
      <c r="E33" s="67"/>
      <c r="F33" s="67"/>
    </row>
    <row r="34" spans="1:6">
      <c r="A34" s="65"/>
      <c r="B34" s="66" t="s">
        <v>144</v>
      </c>
      <c r="C34" s="65"/>
      <c r="D34" s="67"/>
      <c r="E34" s="67"/>
      <c r="F34" s="67"/>
    </row>
    <row r="35" spans="1:6">
      <c r="A35" s="65"/>
      <c r="B35" s="66" t="s">
        <v>145</v>
      </c>
      <c r="C35" s="65"/>
      <c r="D35" s="67"/>
      <c r="E35" s="67"/>
      <c r="F35" s="67"/>
    </row>
    <row r="36" spans="1:6">
      <c r="A36" s="65"/>
      <c r="B36" s="66" t="s">
        <v>146</v>
      </c>
      <c r="C36" s="65"/>
      <c r="D36" s="67"/>
      <c r="E36" s="67"/>
      <c r="F36" s="67"/>
    </row>
    <row r="37" spans="1:6">
      <c r="A37" s="64" t="s">
        <v>147</v>
      </c>
      <c r="B37" s="65"/>
      <c r="C37" s="65"/>
      <c r="D37" s="67"/>
      <c r="E37" s="67"/>
      <c r="F37" s="67"/>
    </row>
    <row r="38" spans="1:6">
      <c r="A38" s="65"/>
      <c r="B38" s="66" t="s">
        <v>148</v>
      </c>
      <c r="C38" s="65"/>
      <c r="D38" s="67"/>
      <c r="E38" s="67"/>
      <c r="F38" s="67"/>
    </row>
    <row r="39" spans="1:6">
      <c r="A39" s="65"/>
      <c r="B39" s="66" t="s">
        <v>149</v>
      </c>
      <c r="C39" s="65"/>
      <c r="D39" s="67"/>
      <c r="E39" s="67"/>
      <c r="F39" s="67"/>
    </row>
    <row r="40" spans="1:6">
      <c r="A40" s="65"/>
      <c r="B40" s="66" t="s">
        <v>150</v>
      </c>
      <c r="C40" s="65"/>
      <c r="D40" s="67"/>
      <c r="E40" s="67"/>
      <c r="F40" s="67"/>
    </row>
    <row r="41" spans="1:6">
      <c r="A41" s="65"/>
      <c r="B41" s="66" t="s">
        <v>151</v>
      </c>
      <c r="C41" s="65"/>
      <c r="D41" s="67"/>
      <c r="E41" s="67"/>
      <c r="F41" s="6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A67C6-E177-4814-913F-D279B7E6F5ED}">
  <dimension ref="A1:J37"/>
  <sheetViews>
    <sheetView workbookViewId="0">
      <selection activeCell="M18" sqref="M18"/>
    </sheetView>
  </sheetViews>
  <sheetFormatPr defaultRowHeight="15"/>
  <cols>
    <col min="1" max="1" width="36.140625" bestFit="1" customWidth="1"/>
    <col min="2" max="2" width="16.7109375" customWidth="1"/>
    <col min="3" max="3" width="13" customWidth="1"/>
    <col min="4" max="4" width="7" bestFit="1" customWidth="1"/>
    <col min="5" max="5" width="5.42578125" bestFit="1" customWidth="1"/>
    <col min="6" max="7" width="7" bestFit="1" customWidth="1"/>
    <col min="8" max="8" width="5.7109375" bestFit="1" customWidth="1"/>
    <col min="9" max="9" width="10.7109375" bestFit="1" customWidth="1"/>
    <col min="10" max="10" width="13.42578125" bestFit="1" customWidth="1"/>
  </cols>
  <sheetData>
    <row r="1" spans="1:10" ht="30">
      <c r="A1" s="68" t="s">
        <v>152</v>
      </c>
      <c r="B1" s="68" t="s">
        <v>153</v>
      </c>
      <c r="C1" s="68" t="s">
        <v>154</v>
      </c>
      <c r="D1" s="68" t="s">
        <v>155</v>
      </c>
      <c r="E1" s="68" t="s">
        <v>156</v>
      </c>
      <c r="F1" s="68" t="s">
        <v>157</v>
      </c>
      <c r="G1" s="68" t="s">
        <v>158</v>
      </c>
      <c r="H1" s="68" t="s">
        <v>159</v>
      </c>
      <c r="I1" s="68" t="s">
        <v>137</v>
      </c>
      <c r="J1" s="68" t="s">
        <v>160</v>
      </c>
    </row>
    <row r="2" spans="1:10">
      <c r="A2" s="1" t="s">
        <v>161</v>
      </c>
      <c r="B2" s="1" t="s">
        <v>162</v>
      </c>
      <c r="C2" s="1" t="s">
        <v>163</v>
      </c>
      <c r="D2" s="1" t="s">
        <v>164</v>
      </c>
      <c r="E2" s="1">
        <v>500</v>
      </c>
      <c r="F2" s="1">
        <v>200</v>
      </c>
      <c r="G2" s="1">
        <v>150</v>
      </c>
      <c r="H2" s="1">
        <f>(E2+F2)-G2</f>
        <v>550</v>
      </c>
      <c r="I2" s="27">
        <v>12000</v>
      </c>
      <c r="J2" s="27">
        <f>H2*I2</f>
        <v>6600000</v>
      </c>
    </row>
    <row r="3" spans="1:10">
      <c r="A3" s="1" t="s">
        <v>165</v>
      </c>
      <c r="B3" s="1" t="s">
        <v>166</v>
      </c>
      <c r="C3" s="1" t="s">
        <v>163</v>
      </c>
      <c r="D3" s="1" t="s">
        <v>167</v>
      </c>
      <c r="E3" s="1">
        <v>300</v>
      </c>
      <c r="F3" s="1">
        <v>100</v>
      </c>
      <c r="G3" s="1">
        <v>80</v>
      </c>
      <c r="H3" s="1">
        <f>E3+F3-G3</f>
        <v>320</v>
      </c>
      <c r="I3" s="27">
        <v>15000</v>
      </c>
      <c r="J3" s="27">
        <f t="shared" ref="J3:J31" si="0">H3*I3</f>
        <v>4800000</v>
      </c>
    </row>
    <row r="4" spans="1:10">
      <c r="A4" s="1" t="s">
        <v>168</v>
      </c>
      <c r="B4" s="1" t="s">
        <v>169</v>
      </c>
      <c r="C4" s="1" t="s">
        <v>163</v>
      </c>
      <c r="D4" s="1" t="s">
        <v>164</v>
      </c>
      <c r="E4" s="1">
        <v>400</v>
      </c>
      <c r="F4" s="1">
        <v>150</v>
      </c>
      <c r="G4" s="1">
        <v>100</v>
      </c>
      <c r="H4" s="1">
        <f>E4+F4-G4</f>
        <v>450</v>
      </c>
      <c r="I4" s="27">
        <v>14000</v>
      </c>
      <c r="J4" s="27">
        <f t="shared" si="0"/>
        <v>6300000</v>
      </c>
    </row>
    <row r="5" spans="1:10">
      <c r="A5" s="1" t="s">
        <v>170</v>
      </c>
      <c r="B5" s="1" t="s">
        <v>171</v>
      </c>
      <c r="C5" s="1" t="s">
        <v>163</v>
      </c>
      <c r="D5" s="1" t="s">
        <v>164</v>
      </c>
      <c r="E5" s="1">
        <v>250</v>
      </c>
      <c r="F5" s="1">
        <v>80</v>
      </c>
      <c r="G5" s="1">
        <v>50</v>
      </c>
      <c r="H5" s="1">
        <f>E5+F5-G5</f>
        <v>280</v>
      </c>
      <c r="I5" s="27">
        <v>10000</v>
      </c>
      <c r="J5" s="27">
        <f t="shared" si="0"/>
        <v>2800000</v>
      </c>
    </row>
    <row r="6" spans="1:10">
      <c r="A6" s="1" t="s">
        <v>172</v>
      </c>
      <c r="B6" s="1" t="s">
        <v>173</v>
      </c>
      <c r="C6" s="1" t="s">
        <v>174</v>
      </c>
      <c r="D6" s="1" t="s">
        <v>175</v>
      </c>
      <c r="E6" s="1">
        <v>200</v>
      </c>
      <c r="F6" s="1">
        <v>50</v>
      </c>
      <c r="G6" s="1">
        <v>30</v>
      </c>
      <c r="H6" s="1">
        <f>E6+F6-G6</f>
        <v>220</v>
      </c>
      <c r="I6" s="27">
        <v>18000</v>
      </c>
      <c r="J6" s="27">
        <f t="shared" si="0"/>
        <v>3960000</v>
      </c>
    </row>
    <row r="7" spans="1:10">
      <c r="A7" s="1" t="s">
        <v>176</v>
      </c>
      <c r="B7" s="1" t="s">
        <v>177</v>
      </c>
      <c r="C7" s="1" t="s">
        <v>174</v>
      </c>
      <c r="D7" s="1" t="s">
        <v>178</v>
      </c>
      <c r="E7" s="1">
        <v>300</v>
      </c>
      <c r="F7" s="1">
        <v>60</v>
      </c>
      <c r="G7" s="1">
        <v>40</v>
      </c>
      <c r="H7" s="1">
        <v>45</v>
      </c>
      <c r="I7" s="27">
        <v>12000</v>
      </c>
      <c r="J7" s="27">
        <f t="shared" si="0"/>
        <v>540000</v>
      </c>
    </row>
    <row r="8" spans="1:10">
      <c r="A8" s="1" t="s">
        <v>179</v>
      </c>
      <c r="B8" s="1" t="s">
        <v>180</v>
      </c>
      <c r="C8" s="1" t="s">
        <v>174</v>
      </c>
      <c r="D8" s="1" t="s">
        <v>181</v>
      </c>
      <c r="E8" s="1">
        <v>600</v>
      </c>
      <c r="F8" s="1">
        <v>200</v>
      </c>
      <c r="G8" s="1">
        <v>150</v>
      </c>
      <c r="H8" s="1">
        <f>E8+F8-G8</f>
        <v>650</v>
      </c>
      <c r="I8" s="27">
        <v>4000</v>
      </c>
      <c r="J8" s="27">
        <f t="shared" si="0"/>
        <v>2600000</v>
      </c>
    </row>
    <row r="9" spans="1:10">
      <c r="A9" s="1" t="s">
        <v>182</v>
      </c>
      <c r="B9" s="1" t="s">
        <v>183</v>
      </c>
      <c r="C9" s="1" t="s">
        <v>184</v>
      </c>
      <c r="D9" s="1" t="s">
        <v>185</v>
      </c>
      <c r="E9" s="1">
        <v>350</v>
      </c>
      <c r="F9" s="1">
        <v>90</v>
      </c>
      <c r="G9" s="1">
        <v>60</v>
      </c>
      <c r="H9" s="1">
        <f>E9+F9-G9</f>
        <v>380</v>
      </c>
      <c r="I9" s="27">
        <v>5000</v>
      </c>
      <c r="J9" s="27">
        <f t="shared" si="0"/>
        <v>1900000</v>
      </c>
    </row>
    <row r="10" spans="1:10">
      <c r="A10" s="1" t="s">
        <v>186</v>
      </c>
      <c r="B10" s="1" t="s">
        <v>187</v>
      </c>
      <c r="C10" s="1" t="s">
        <v>184</v>
      </c>
      <c r="D10" s="1" t="s">
        <v>181</v>
      </c>
      <c r="E10" s="1">
        <v>200</v>
      </c>
      <c r="F10" s="1">
        <v>70</v>
      </c>
      <c r="G10" s="1">
        <v>40</v>
      </c>
      <c r="H10" s="1">
        <f>E10+F10-G10</f>
        <v>230</v>
      </c>
      <c r="I10" s="27">
        <v>15000</v>
      </c>
      <c r="J10" s="27">
        <f t="shared" si="0"/>
        <v>3450000</v>
      </c>
    </row>
    <row r="11" spans="1:10">
      <c r="A11" s="1" t="s">
        <v>188</v>
      </c>
      <c r="B11" s="1" t="s">
        <v>189</v>
      </c>
      <c r="C11" s="1" t="s">
        <v>184</v>
      </c>
      <c r="D11" s="1" t="s">
        <v>190</v>
      </c>
      <c r="E11" s="1">
        <v>250</v>
      </c>
      <c r="F11" s="1">
        <v>80</v>
      </c>
      <c r="G11" s="1">
        <v>50</v>
      </c>
      <c r="H11" s="1">
        <v>32</v>
      </c>
      <c r="I11" s="27">
        <v>10000</v>
      </c>
      <c r="J11" s="27">
        <f t="shared" si="0"/>
        <v>320000</v>
      </c>
    </row>
    <row r="12" spans="1:10">
      <c r="A12" s="1" t="s">
        <v>191</v>
      </c>
      <c r="B12" s="1" t="s">
        <v>192</v>
      </c>
      <c r="C12" s="1" t="s">
        <v>184</v>
      </c>
      <c r="D12" s="1" t="s">
        <v>164</v>
      </c>
      <c r="E12" s="1">
        <v>300</v>
      </c>
      <c r="F12" s="1">
        <v>100</v>
      </c>
      <c r="G12" s="1">
        <v>80</v>
      </c>
      <c r="H12" s="1">
        <f>E12+F12-G12</f>
        <v>320</v>
      </c>
      <c r="I12" s="27">
        <v>20000</v>
      </c>
      <c r="J12" s="27">
        <f t="shared" si="0"/>
        <v>6400000</v>
      </c>
    </row>
    <row r="13" spans="1:10">
      <c r="A13" s="1" t="s">
        <v>193</v>
      </c>
      <c r="B13" s="1" t="s">
        <v>194</v>
      </c>
      <c r="C13" s="1" t="s">
        <v>184</v>
      </c>
      <c r="D13" s="1" t="s">
        <v>181</v>
      </c>
      <c r="E13" s="1">
        <v>150</v>
      </c>
      <c r="F13" s="1">
        <v>60</v>
      </c>
      <c r="G13" s="1">
        <v>30</v>
      </c>
      <c r="H13" s="1">
        <f>E13+F13-G13</f>
        <v>180</v>
      </c>
      <c r="I13" s="27">
        <v>12000</v>
      </c>
      <c r="J13" s="27">
        <f t="shared" si="0"/>
        <v>2160000</v>
      </c>
    </row>
    <row r="14" spans="1:10">
      <c r="A14" s="1" t="s">
        <v>195</v>
      </c>
      <c r="B14" s="1" t="s">
        <v>196</v>
      </c>
      <c r="C14" s="1" t="s">
        <v>163</v>
      </c>
      <c r="D14" s="1" t="s">
        <v>197</v>
      </c>
      <c r="E14" s="1">
        <v>500</v>
      </c>
      <c r="F14" s="1">
        <v>200</v>
      </c>
      <c r="G14" s="1">
        <v>180</v>
      </c>
      <c r="H14" s="1">
        <f>E14+F14-G14</f>
        <v>520</v>
      </c>
      <c r="I14" s="27">
        <v>110000</v>
      </c>
      <c r="J14" s="27">
        <f t="shared" si="0"/>
        <v>57200000</v>
      </c>
    </row>
    <row r="15" spans="1:10">
      <c r="A15" s="1" t="s">
        <v>198</v>
      </c>
      <c r="B15" s="1" t="s">
        <v>199</v>
      </c>
      <c r="C15" s="1" t="s">
        <v>174</v>
      </c>
      <c r="D15" s="1" t="s">
        <v>175</v>
      </c>
      <c r="E15" s="1">
        <v>180</v>
      </c>
      <c r="F15" s="1">
        <v>50</v>
      </c>
      <c r="G15" s="1">
        <v>40</v>
      </c>
      <c r="H15" s="1">
        <f>E15+F15-G15</f>
        <v>190</v>
      </c>
      <c r="I15" s="27">
        <v>50000</v>
      </c>
      <c r="J15" s="27">
        <f t="shared" si="0"/>
        <v>9500000</v>
      </c>
    </row>
    <row r="16" spans="1:10">
      <c r="A16" s="1" t="s">
        <v>200</v>
      </c>
      <c r="B16" s="1" t="s">
        <v>201</v>
      </c>
      <c r="C16" s="1" t="s">
        <v>202</v>
      </c>
      <c r="D16" s="1" t="s">
        <v>175</v>
      </c>
      <c r="E16" s="1">
        <v>120</v>
      </c>
      <c r="F16" s="1">
        <v>40</v>
      </c>
      <c r="G16" s="1">
        <v>25</v>
      </c>
      <c r="H16" s="1">
        <f>E16+F16-G16</f>
        <v>135</v>
      </c>
      <c r="I16" s="27">
        <v>25000</v>
      </c>
      <c r="J16" s="27">
        <f t="shared" si="0"/>
        <v>3375000</v>
      </c>
    </row>
    <row r="17" spans="1:10">
      <c r="A17" s="1" t="s">
        <v>203</v>
      </c>
      <c r="B17" s="1" t="s">
        <v>204</v>
      </c>
      <c r="C17" s="1" t="s">
        <v>202</v>
      </c>
      <c r="D17" s="1" t="s">
        <v>175</v>
      </c>
      <c r="E17" s="1">
        <v>100</v>
      </c>
      <c r="F17" s="1">
        <v>50</v>
      </c>
      <c r="G17" s="1">
        <v>30</v>
      </c>
      <c r="H17" s="1">
        <v>50</v>
      </c>
      <c r="I17" s="27">
        <v>15000</v>
      </c>
      <c r="J17" s="27">
        <f t="shared" si="0"/>
        <v>750000</v>
      </c>
    </row>
    <row r="18" spans="1:10">
      <c r="A18" s="1" t="s">
        <v>205</v>
      </c>
      <c r="B18" s="1" t="s">
        <v>206</v>
      </c>
      <c r="C18" s="1" t="s">
        <v>202</v>
      </c>
      <c r="D18" s="1" t="s">
        <v>181</v>
      </c>
      <c r="E18" s="1">
        <v>200</v>
      </c>
      <c r="F18" s="1">
        <v>80</v>
      </c>
      <c r="G18" s="1">
        <v>60</v>
      </c>
      <c r="H18" s="1">
        <f>E18+F18-G18</f>
        <v>220</v>
      </c>
      <c r="I18" s="27">
        <v>12000</v>
      </c>
      <c r="J18" s="27">
        <f t="shared" si="0"/>
        <v>2640000</v>
      </c>
    </row>
    <row r="19" spans="1:10">
      <c r="A19" s="1" t="s">
        <v>207</v>
      </c>
      <c r="B19" s="1" t="s">
        <v>208</v>
      </c>
      <c r="C19" s="1" t="s">
        <v>202</v>
      </c>
      <c r="D19" s="1" t="s">
        <v>181</v>
      </c>
      <c r="E19" s="1">
        <v>250</v>
      </c>
      <c r="F19" s="1">
        <v>90</v>
      </c>
      <c r="G19" s="1">
        <v>70</v>
      </c>
      <c r="H19" s="1">
        <f>E19+F19-G19</f>
        <v>270</v>
      </c>
      <c r="I19" s="27">
        <v>14000</v>
      </c>
      <c r="J19" s="27">
        <f t="shared" si="0"/>
        <v>3780000</v>
      </c>
    </row>
    <row r="20" spans="1:10">
      <c r="A20" s="1" t="s">
        <v>209</v>
      </c>
      <c r="B20" s="1" t="s">
        <v>210</v>
      </c>
      <c r="C20" s="1" t="s">
        <v>202</v>
      </c>
      <c r="D20" s="1" t="s">
        <v>211</v>
      </c>
      <c r="E20" s="1">
        <v>150</v>
      </c>
      <c r="F20" s="1">
        <v>50</v>
      </c>
      <c r="G20" s="1">
        <v>30</v>
      </c>
      <c r="H20" s="1">
        <f>E20+F20-G20</f>
        <v>170</v>
      </c>
      <c r="I20" s="27">
        <v>30000</v>
      </c>
      <c r="J20" s="27">
        <f t="shared" si="0"/>
        <v>5100000</v>
      </c>
    </row>
    <row r="21" spans="1:10">
      <c r="A21" s="1" t="s">
        <v>212</v>
      </c>
      <c r="B21" s="1" t="s">
        <v>213</v>
      </c>
      <c r="C21" s="1" t="s">
        <v>202</v>
      </c>
      <c r="D21" s="1" t="s">
        <v>185</v>
      </c>
      <c r="E21" s="1">
        <v>1000</v>
      </c>
      <c r="F21" s="1">
        <v>300</v>
      </c>
      <c r="G21" s="1">
        <v>250</v>
      </c>
      <c r="H21" s="1">
        <f>E21+F21-G21</f>
        <v>1050</v>
      </c>
      <c r="I21" s="27">
        <v>500</v>
      </c>
      <c r="J21" s="27">
        <f t="shared" si="0"/>
        <v>525000</v>
      </c>
    </row>
    <row r="22" spans="1:10">
      <c r="A22" s="1" t="s">
        <v>214</v>
      </c>
      <c r="B22" s="1" t="s">
        <v>215</v>
      </c>
      <c r="C22" s="1" t="s">
        <v>184</v>
      </c>
      <c r="D22" s="1" t="s">
        <v>175</v>
      </c>
      <c r="E22" s="1">
        <v>300</v>
      </c>
      <c r="F22" s="1">
        <v>120</v>
      </c>
      <c r="G22" s="1">
        <v>100</v>
      </c>
      <c r="H22" s="1">
        <v>42</v>
      </c>
      <c r="I22" s="27">
        <v>7000</v>
      </c>
      <c r="J22" s="27">
        <f t="shared" si="0"/>
        <v>294000</v>
      </c>
    </row>
    <row r="23" spans="1:10">
      <c r="A23" s="1" t="s">
        <v>216</v>
      </c>
      <c r="B23" s="1" t="s">
        <v>217</v>
      </c>
      <c r="C23" s="1" t="s">
        <v>184</v>
      </c>
      <c r="D23" s="1" t="s">
        <v>218</v>
      </c>
      <c r="E23" s="1">
        <v>200</v>
      </c>
      <c r="F23" s="1">
        <v>80</v>
      </c>
      <c r="G23" s="1">
        <v>50</v>
      </c>
      <c r="H23" s="1">
        <f t="shared" ref="H23:H31" si="1">E23+F23-G23</f>
        <v>230</v>
      </c>
      <c r="I23" s="27">
        <v>10000</v>
      </c>
      <c r="J23" s="27">
        <f t="shared" si="0"/>
        <v>2300000</v>
      </c>
    </row>
    <row r="24" spans="1:10">
      <c r="A24" s="1" t="s">
        <v>219</v>
      </c>
      <c r="B24" s="1" t="s">
        <v>220</v>
      </c>
      <c r="C24" s="1" t="s">
        <v>184</v>
      </c>
      <c r="D24" s="1" t="s">
        <v>181</v>
      </c>
      <c r="E24" s="1">
        <v>150</v>
      </c>
      <c r="F24" s="1">
        <v>70</v>
      </c>
      <c r="G24" s="1">
        <v>40</v>
      </c>
      <c r="H24" s="1">
        <f t="shared" si="1"/>
        <v>180</v>
      </c>
      <c r="I24" s="27">
        <v>18000</v>
      </c>
      <c r="J24" s="27">
        <f t="shared" si="0"/>
        <v>3240000</v>
      </c>
    </row>
    <row r="25" spans="1:10">
      <c r="A25" s="1" t="s">
        <v>221</v>
      </c>
      <c r="B25" s="1" t="s">
        <v>222</v>
      </c>
      <c r="C25" s="1" t="s">
        <v>184</v>
      </c>
      <c r="D25" s="1" t="s">
        <v>175</v>
      </c>
      <c r="E25" s="1">
        <v>250</v>
      </c>
      <c r="F25" s="1">
        <v>100</v>
      </c>
      <c r="G25" s="1">
        <v>70</v>
      </c>
      <c r="H25" s="1">
        <f t="shared" si="1"/>
        <v>280</v>
      </c>
      <c r="I25" s="27">
        <v>15000</v>
      </c>
      <c r="J25" s="27">
        <f t="shared" si="0"/>
        <v>4200000</v>
      </c>
    </row>
    <row r="26" spans="1:10">
      <c r="A26" s="1" t="s">
        <v>223</v>
      </c>
      <c r="B26" s="1" t="s">
        <v>224</v>
      </c>
      <c r="C26" s="1" t="s">
        <v>202</v>
      </c>
      <c r="D26" s="1" t="s">
        <v>185</v>
      </c>
      <c r="E26" s="1">
        <v>200</v>
      </c>
      <c r="F26" s="1">
        <v>60</v>
      </c>
      <c r="G26" s="1">
        <v>50</v>
      </c>
      <c r="H26" s="1">
        <f t="shared" si="1"/>
        <v>210</v>
      </c>
      <c r="I26" s="27">
        <v>12000</v>
      </c>
      <c r="J26" s="27">
        <f t="shared" si="0"/>
        <v>2520000</v>
      </c>
    </row>
    <row r="27" spans="1:10">
      <c r="A27" s="1" t="s">
        <v>225</v>
      </c>
      <c r="B27" s="1" t="s">
        <v>226</v>
      </c>
      <c r="C27" s="1" t="s">
        <v>202</v>
      </c>
      <c r="D27" s="1" t="s">
        <v>175</v>
      </c>
      <c r="E27" s="1">
        <v>180</v>
      </c>
      <c r="F27" s="1">
        <v>50</v>
      </c>
      <c r="G27" s="1">
        <v>40</v>
      </c>
      <c r="H27" s="1">
        <f t="shared" si="1"/>
        <v>190</v>
      </c>
      <c r="I27" s="27">
        <v>20000</v>
      </c>
      <c r="J27" s="27">
        <f t="shared" si="0"/>
        <v>3800000</v>
      </c>
    </row>
    <row r="28" spans="1:10">
      <c r="A28" s="1" t="s">
        <v>227</v>
      </c>
      <c r="B28" s="1" t="s">
        <v>228</v>
      </c>
      <c r="C28" s="1" t="s">
        <v>202</v>
      </c>
      <c r="D28" s="1" t="s">
        <v>175</v>
      </c>
      <c r="E28" s="1">
        <v>220</v>
      </c>
      <c r="F28" s="1">
        <v>70</v>
      </c>
      <c r="G28" s="1">
        <v>50</v>
      </c>
      <c r="H28" s="1">
        <f t="shared" si="1"/>
        <v>240</v>
      </c>
      <c r="I28" s="27">
        <v>15000</v>
      </c>
      <c r="J28" s="27">
        <f t="shared" si="0"/>
        <v>3600000</v>
      </c>
    </row>
    <row r="29" spans="1:10">
      <c r="A29" s="1" t="s">
        <v>229</v>
      </c>
      <c r="B29" s="1" t="s">
        <v>230</v>
      </c>
      <c r="C29" s="1" t="s">
        <v>174</v>
      </c>
      <c r="D29" s="1" t="s">
        <v>231</v>
      </c>
      <c r="E29" s="1">
        <v>300</v>
      </c>
      <c r="F29" s="1">
        <v>100</v>
      </c>
      <c r="G29" s="1">
        <v>80</v>
      </c>
      <c r="H29" s="1">
        <f t="shared" si="1"/>
        <v>320</v>
      </c>
      <c r="I29" s="27">
        <v>8000</v>
      </c>
      <c r="J29" s="27">
        <f t="shared" si="0"/>
        <v>2560000</v>
      </c>
    </row>
    <row r="30" spans="1:10">
      <c r="A30" s="1" t="s">
        <v>232</v>
      </c>
      <c r="B30" s="1" t="s">
        <v>233</v>
      </c>
      <c r="C30" s="1" t="s">
        <v>174</v>
      </c>
      <c r="D30" s="1" t="s">
        <v>181</v>
      </c>
      <c r="E30" s="1">
        <v>200</v>
      </c>
      <c r="F30" s="1">
        <v>70</v>
      </c>
      <c r="G30" s="1">
        <v>50</v>
      </c>
      <c r="H30" s="1">
        <f t="shared" si="1"/>
        <v>220</v>
      </c>
      <c r="I30" s="27">
        <v>10000</v>
      </c>
      <c r="J30" s="27">
        <f t="shared" si="0"/>
        <v>2200000</v>
      </c>
    </row>
    <row r="31" spans="1:10">
      <c r="A31" s="1" t="s">
        <v>234</v>
      </c>
      <c r="B31" s="1" t="s">
        <v>235</v>
      </c>
      <c r="C31" s="1" t="s">
        <v>236</v>
      </c>
      <c r="D31" s="1" t="s">
        <v>181</v>
      </c>
      <c r="E31" s="1">
        <v>120</v>
      </c>
      <c r="F31" s="1">
        <v>40</v>
      </c>
      <c r="G31" s="1">
        <v>30</v>
      </c>
      <c r="H31" s="1">
        <f t="shared" si="1"/>
        <v>130</v>
      </c>
      <c r="I31" s="27">
        <v>25000</v>
      </c>
      <c r="J31" s="27">
        <f t="shared" si="0"/>
        <v>3250000</v>
      </c>
    </row>
    <row r="32" spans="1:10">
      <c r="A32" s="69" t="s">
        <v>237</v>
      </c>
      <c r="B32" s="70">
        <f>SUM(J2:J31)</f>
        <v>152664000</v>
      </c>
      <c r="C32" s="69"/>
      <c r="D32" s="69"/>
      <c r="E32" s="69"/>
      <c r="F32" s="69"/>
      <c r="G32" s="69"/>
      <c r="H32" s="71"/>
      <c r="I32" s="69"/>
      <c r="J32" s="71"/>
    </row>
    <row r="33" spans="1:10">
      <c r="A33" s="71" t="s">
        <v>238</v>
      </c>
      <c r="B33" s="69">
        <f>MAX(H2:H31)</f>
        <v>1050</v>
      </c>
      <c r="C33" s="69"/>
      <c r="D33" s="69"/>
      <c r="E33" s="69"/>
      <c r="F33" s="69"/>
      <c r="G33" s="69"/>
      <c r="H33" s="71"/>
      <c r="I33" s="69"/>
      <c r="J33" s="71"/>
    </row>
    <row r="34" spans="1:10">
      <c r="A34" s="69" t="s">
        <v>239</v>
      </c>
      <c r="B34" s="69">
        <f>MIN(H2:H31)</f>
        <v>32</v>
      </c>
      <c r="C34" s="69"/>
      <c r="D34" s="69"/>
      <c r="E34" s="69"/>
      <c r="F34" s="69"/>
      <c r="G34" s="69"/>
      <c r="H34" s="69"/>
      <c r="I34" s="69"/>
      <c r="J34" s="69"/>
    </row>
    <row r="35" spans="1:10">
      <c r="A35" s="72" t="s">
        <v>240</v>
      </c>
      <c r="B35" s="73" t="str">
        <f>INDEX(B2:B31,MATCH(MAX(H2:H31),H2:H31,0))</f>
        <v>Permen</v>
      </c>
      <c r="C35" s="69"/>
      <c r="D35" s="69"/>
      <c r="E35" s="69"/>
      <c r="F35" s="69"/>
      <c r="G35" s="69"/>
      <c r="H35" s="69"/>
      <c r="I35" s="69"/>
      <c r="J35" s="69"/>
    </row>
    <row r="36" spans="1:10">
      <c r="A36" s="69" t="s">
        <v>241</v>
      </c>
      <c r="B36" s="69">
        <f>COUNTIF(C2:C31,"Makanan")</f>
        <v>9</v>
      </c>
      <c r="C36" s="69"/>
      <c r="D36" s="69"/>
      <c r="E36" s="69"/>
      <c r="F36" s="69"/>
      <c r="G36" s="69"/>
      <c r="H36" s="69"/>
      <c r="I36" s="69"/>
      <c r="J36" s="69"/>
    </row>
    <row r="37" spans="1:10">
      <c r="A37" s="69" t="s">
        <v>242</v>
      </c>
      <c r="B37" s="69">
        <v>3</v>
      </c>
      <c r="C37" s="69"/>
      <c r="D37" s="69"/>
      <c r="E37" s="69"/>
      <c r="F37" s="69"/>
      <c r="G37" s="69"/>
      <c r="H37" s="69"/>
      <c r="I37" s="69"/>
      <c r="J37" s="69"/>
    </row>
  </sheetData>
  <conditionalFormatting sqref="H2:H4 H24:H31">
    <cfRule type="expression" dxfId="4" priority="2">
      <formula>H2&lt;50</formula>
    </cfRule>
  </conditionalFormatting>
  <conditionalFormatting sqref="H2:H31">
    <cfRule type="expression" dxfId="3" priority="1">
      <formula>H2&lt;50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C23CC-FF3A-4BE1-B711-B3E7FDFD98CF}">
  <dimension ref="A1:G22"/>
  <sheetViews>
    <sheetView workbookViewId="0">
      <selection activeCell="G3" sqref="G3:G22"/>
    </sheetView>
  </sheetViews>
  <sheetFormatPr defaultRowHeight="15"/>
  <cols>
    <col min="1" max="1" width="13.85546875" bestFit="1" customWidth="1"/>
    <col min="2" max="2" width="14.5703125" bestFit="1" customWidth="1"/>
    <col min="3" max="3" width="10.85546875" bestFit="1" customWidth="1"/>
    <col min="4" max="4" width="15.28515625" bestFit="1" customWidth="1"/>
    <col min="5" max="5" width="15.140625" bestFit="1" customWidth="1"/>
    <col min="6" max="6" width="11.28515625" bestFit="1" customWidth="1"/>
    <col min="7" max="7" width="12.140625" bestFit="1" customWidth="1"/>
  </cols>
  <sheetData>
    <row r="1" spans="1:7" ht="15.75">
      <c r="A1" s="74" t="s">
        <v>243</v>
      </c>
      <c r="B1" s="74"/>
      <c r="C1" s="74"/>
      <c r="D1" s="74"/>
      <c r="E1" s="74"/>
      <c r="F1" s="74"/>
      <c r="G1" s="74"/>
    </row>
    <row r="2" spans="1:7" ht="15.75">
      <c r="A2" s="75" t="s">
        <v>244</v>
      </c>
      <c r="B2" s="75" t="s">
        <v>135</v>
      </c>
      <c r="C2" s="76" t="s">
        <v>156</v>
      </c>
      <c r="D2" s="76" t="s">
        <v>245</v>
      </c>
      <c r="E2" s="76" t="s">
        <v>246</v>
      </c>
      <c r="F2" s="76" t="s">
        <v>159</v>
      </c>
      <c r="G2" s="77" t="s">
        <v>247</v>
      </c>
    </row>
    <row r="3" spans="1:7">
      <c r="A3" s="58" t="s">
        <v>248</v>
      </c>
      <c r="B3" s="58" t="s">
        <v>249</v>
      </c>
      <c r="C3" s="60">
        <v>5</v>
      </c>
      <c r="D3" s="60">
        <v>1</v>
      </c>
      <c r="E3" s="60">
        <v>1</v>
      </c>
      <c r="F3" s="60">
        <f>(C3+D3)-E3</f>
        <v>5</v>
      </c>
      <c r="G3" s="78" t="str">
        <f>IF(F3&lt;=0,"Kosong","Tersedia")</f>
        <v>Tersedia</v>
      </c>
    </row>
    <row r="4" spans="1:7">
      <c r="A4" s="58" t="s">
        <v>250</v>
      </c>
      <c r="B4" s="58" t="s">
        <v>251</v>
      </c>
      <c r="C4" s="60">
        <v>4</v>
      </c>
      <c r="D4" s="60">
        <v>6</v>
      </c>
      <c r="E4" s="60">
        <v>4</v>
      </c>
      <c r="F4" s="60">
        <f t="shared" ref="F4:F22" si="0">(C4+D4)-E4</f>
        <v>6</v>
      </c>
      <c r="G4" s="78" t="str">
        <f t="shared" ref="G4:G22" si="1">IF(F4&lt;=0,"Kosong","Tersedia")</f>
        <v>Tersedia</v>
      </c>
    </row>
    <row r="5" spans="1:7">
      <c r="A5" s="58" t="s">
        <v>252</v>
      </c>
      <c r="B5" s="58" t="s">
        <v>253</v>
      </c>
      <c r="C5" s="60">
        <v>10</v>
      </c>
      <c r="D5" s="60">
        <v>7</v>
      </c>
      <c r="E5" s="60"/>
      <c r="F5" s="60">
        <f t="shared" si="0"/>
        <v>17</v>
      </c>
      <c r="G5" s="78" t="str">
        <f t="shared" si="1"/>
        <v>Tersedia</v>
      </c>
    </row>
    <row r="6" spans="1:7">
      <c r="A6" s="58" t="s">
        <v>254</v>
      </c>
      <c r="B6" s="58" t="s">
        <v>255</v>
      </c>
      <c r="C6" s="60">
        <v>15</v>
      </c>
      <c r="D6" s="60"/>
      <c r="E6" s="60">
        <v>5</v>
      </c>
      <c r="F6" s="60">
        <f t="shared" si="0"/>
        <v>10</v>
      </c>
      <c r="G6" s="78" t="str">
        <f t="shared" si="1"/>
        <v>Tersedia</v>
      </c>
    </row>
    <row r="7" spans="1:7">
      <c r="A7" s="58" t="s">
        <v>256</v>
      </c>
      <c r="B7" s="58" t="s">
        <v>257</v>
      </c>
      <c r="C7" s="60">
        <v>15</v>
      </c>
      <c r="D7" s="60">
        <v>3</v>
      </c>
      <c r="E7" s="60">
        <v>4</v>
      </c>
      <c r="F7" s="60">
        <f t="shared" si="0"/>
        <v>14</v>
      </c>
      <c r="G7" s="78" t="str">
        <f t="shared" si="1"/>
        <v>Tersedia</v>
      </c>
    </row>
    <row r="8" spans="1:7">
      <c r="A8" s="58" t="s">
        <v>258</v>
      </c>
      <c r="B8" s="58" t="s">
        <v>259</v>
      </c>
      <c r="C8" s="60">
        <v>4</v>
      </c>
      <c r="D8" s="60">
        <v>5</v>
      </c>
      <c r="E8" s="60">
        <v>6</v>
      </c>
      <c r="F8" s="60">
        <f t="shared" si="0"/>
        <v>3</v>
      </c>
      <c r="G8" s="78" t="str">
        <f t="shared" si="1"/>
        <v>Tersedia</v>
      </c>
    </row>
    <row r="9" spans="1:7">
      <c r="A9" s="58" t="s">
        <v>260</v>
      </c>
      <c r="B9" s="58" t="s">
        <v>261</v>
      </c>
      <c r="C9" s="60">
        <v>4</v>
      </c>
      <c r="D9" s="60">
        <v>3</v>
      </c>
      <c r="E9" s="60">
        <v>4</v>
      </c>
      <c r="F9" s="60">
        <f t="shared" si="0"/>
        <v>3</v>
      </c>
      <c r="G9" s="78" t="str">
        <f t="shared" si="1"/>
        <v>Tersedia</v>
      </c>
    </row>
    <row r="10" spans="1:7">
      <c r="A10" s="58" t="s">
        <v>262</v>
      </c>
      <c r="B10" s="58" t="s">
        <v>263</v>
      </c>
      <c r="C10" s="60">
        <v>15</v>
      </c>
      <c r="D10" s="60">
        <v>5</v>
      </c>
      <c r="E10" s="60">
        <v>20</v>
      </c>
      <c r="F10" s="60">
        <f t="shared" si="0"/>
        <v>0</v>
      </c>
      <c r="G10" s="78" t="str">
        <f t="shared" si="1"/>
        <v>Kosong</v>
      </c>
    </row>
    <row r="11" spans="1:7">
      <c r="A11" s="58" t="s">
        <v>264</v>
      </c>
      <c r="B11" s="58" t="s">
        <v>265</v>
      </c>
      <c r="C11" s="60">
        <v>20</v>
      </c>
      <c r="D11" s="60">
        <v>5</v>
      </c>
      <c r="E11" s="60"/>
      <c r="F11" s="60">
        <f t="shared" si="0"/>
        <v>25</v>
      </c>
      <c r="G11" s="78" t="str">
        <f t="shared" si="1"/>
        <v>Tersedia</v>
      </c>
    </row>
    <row r="12" spans="1:7">
      <c r="A12" s="58" t="s">
        <v>266</v>
      </c>
      <c r="B12" s="58" t="s">
        <v>267</v>
      </c>
      <c r="C12" s="60">
        <v>20</v>
      </c>
      <c r="D12" s="60">
        <v>5</v>
      </c>
      <c r="E12" s="60">
        <v>2</v>
      </c>
      <c r="F12" s="60">
        <f t="shared" si="0"/>
        <v>23</v>
      </c>
      <c r="G12" s="78" t="str">
        <f t="shared" si="1"/>
        <v>Tersedia</v>
      </c>
    </row>
    <row r="13" spans="1:7">
      <c r="A13" s="58" t="s">
        <v>268</v>
      </c>
      <c r="B13" s="58" t="s">
        <v>269</v>
      </c>
      <c r="C13" s="60">
        <v>25</v>
      </c>
      <c r="D13" s="60">
        <v>6</v>
      </c>
      <c r="E13" s="60"/>
      <c r="F13" s="60">
        <f t="shared" si="0"/>
        <v>31</v>
      </c>
      <c r="G13" s="78" t="str">
        <f t="shared" si="1"/>
        <v>Tersedia</v>
      </c>
    </row>
    <row r="14" spans="1:7">
      <c r="A14" s="58" t="s">
        <v>270</v>
      </c>
      <c r="B14" s="58" t="s">
        <v>271</v>
      </c>
      <c r="C14" s="60">
        <v>5</v>
      </c>
      <c r="D14" s="60">
        <v>7</v>
      </c>
      <c r="E14" s="60">
        <v>12</v>
      </c>
      <c r="F14" s="60">
        <f t="shared" si="0"/>
        <v>0</v>
      </c>
      <c r="G14" s="78" t="str">
        <f t="shared" si="1"/>
        <v>Kosong</v>
      </c>
    </row>
    <row r="15" spans="1:7">
      <c r="A15" s="58" t="s">
        <v>272</v>
      </c>
      <c r="B15" s="58" t="s">
        <v>273</v>
      </c>
      <c r="C15" s="60">
        <v>5</v>
      </c>
      <c r="D15" s="60">
        <v>5</v>
      </c>
      <c r="E15" s="60"/>
      <c r="F15" s="60">
        <f t="shared" si="0"/>
        <v>10</v>
      </c>
      <c r="G15" s="78" t="str">
        <f t="shared" si="1"/>
        <v>Tersedia</v>
      </c>
    </row>
    <row r="16" spans="1:7">
      <c r="A16" s="58" t="s">
        <v>274</v>
      </c>
      <c r="B16" s="58" t="s">
        <v>275</v>
      </c>
      <c r="C16" s="60">
        <v>5</v>
      </c>
      <c r="D16" s="60">
        <v>2</v>
      </c>
      <c r="E16" s="60"/>
      <c r="F16" s="60">
        <f t="shared" si="0"/>
        <v>7</v>
      </c>
      <c r="G16" s="78" t="str">
        <f t="shared" si="1"/>
        <v>Tersedia</v>
      </c>
    </row>
    <row r="17" spans="1:7">
      <c r="A17" s="58" t="s">
        <v>276</v>
      </c>
      <c r="B17" s="58" t="s">
        <v>277</v>
      </c>
      <c r="C17" s="60">
        <v>10</v>
      </c>
      <c r="D17" s="60">
        <v>2</v>
      </c>
      <c r="E17" s="60"/>
      <c r="F17" s="60">
        <f t="shared" si="0"/>
        <v>12</v>
      </c>
      <c r="G17" s="78" t="str">
        <f t="shared" si="1"/>
        <v>Tersedia</v>
      </c>
    </row>
    <row r="18" spans="1:7">
      <c r="A18" s="58" t="s">
        <v>278</v>
      </c>
      <c r="B18" s="58" t="s">
        <v>279</v>
      </c>
      <c r="C18" s="60">
        <v>10</v>
      </c>
      <c r="D18" s="60">
        <v>2</v>
      </c>
      <c r="E18" s="60">
        <v>1</v>
      </c>
      <c r="F18" s="60">
        <f t="shared" si="0"/>
        <v>11</v>
      </c>
      <c r="G18" s="78" t="str">
        <f t="shared" si="1"/>
        <v>Tersedia</v>
      </c>
    </row>
    <row r="19" spans="1:7">
      <c r="A19" s="58" t="s">
        <v>280</v>
      </c>
      <c r="B19" s="58" t="s">
        <v>281</v>
      </c>
      <c r="C19" s="60">
        <v>20</v>
      </c>
      <c r="D19" s="60">
        <v>2</v>
      </c>
      <c r="E19" s="60"/>
      <c r="F19" s="60">
        <f t="shared" si="0"/>
        <v>22</v>
      </c>
      <c r="G19" s="78" t="str">
        <f t="shared" si="1"/>
        <v>Tersedia</v>
      </c>
    </row>
    <row r="20" spans="1:7">
      <c r="A20" s="58" t="s">
        <v>282</v>
      </c>
      <c r="B20" s="58" t="s">
        <v>283</v>
      </c>
      <c r="C20" s="60">
        <v>25</v>
      </c>
      <c r="D20" s="60">
        <v>2</v>
      </c>
      <c r="E20" s="60"/>
      <c r="F20" s="60">
        <f t="shared" si="0"/>
        <v>27</v>
      </c>
      <c r="G20" s="78" t="str">
        <f t="shared" si="1"/>
        <v>Tersedia</v>
      </c>
    </row>
    <row r="21" spans="1:7">
      <c r="A21" s="58" t="s">
        <v>284</v>
      </c>
      <c r="B21" s="58" t="s">
        <v>285</v>
      </c>
      <c r="C21" s="60">
        <v>20</v>
      </c>
      <c r="D21" s="60">
        <v>3</v>
      </c>
      <c r="E21" s="60"/>
      <c r="F21" s="60">
        <f t="shared" si="0"/>
        <v>23</v>
      </c>
      <c r="G21" s="78" t="str">
        <f t="shared" si="1"/>
        <v>Tersedia</v>
      </c>
    </row>
    <row r="22" spans="1:7">
      <c r="A22" s="58" t="s">
        <v>286</v>
      </c>
      <c r="B22" s="58" t="s">
        <v>287</v>
      </c>
      <c r="C22" s="60">
        <v>10</v>
      </c>
      <c r="D22" s="60"/>
      <c r="E22" s="60"/>
      <c r="F22" s="60">
        <f t="shared" si="0"/>
        <v>10</v>
      </c>
      <c r="G22" s="78" t="str">
        <f t="shared" si="1"/>
        <v>Tersedia</v>
      </c>
    </row>
  </sheetData>
  <mergeCells count="1">
    <mergeCell ref="A1:G1"/>
  </mergeCells>
  <conditionalFormatting sqref="G3:G22">
    <cfRule type="expression" dxfId="2" priority="5">
      <formula>$H3="Kosong"</formula>
    </cfRule>
    <cfRule type="expression" dxfId="1" priority="1">
      <formula>$G3="Kosong"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3A43C-4866-41BE-920C-3A97115CCB8B}">
  <dimension ref="A1:G11"/>
  <sheetViews>
    <sheetView tabSelected="1" workbookViewId="0">
      <selection activeCell="D12" sqref="D12"/>
    </sheetView>
  </sheetViews>
  <sheetFormatPr defaultRowHeight="15"/>
  <cols>
    <col min="1" max="1" width="5.140625" bestFit="1" customWidth="1"/>
    <col min="2" max="2" width="18.140625" customWidth="1"/>
    <col min="3" max="3" width="17.28515625" customWidth="1"/>
    <col min="4" max="4" width="16.5703125" customWidth="1"/>
    <col min="5" max="5" width="16.28515625" customWidth="1"/>
    <col min="6" max="6" width="14.42578125" customWidth="1"/>
    <col min="7" max="7" width="16.28515625" customWidth="1"/>
  </cols>
  <sheetData>
    <row r="1" spans="1:7">
      <c r="A1" s="79" t="s">
        <v>288</v>
      </c>
      <c r="B1" s="80"/>
      <c r="C1" s="80"/>
      <c r="D1" s="80"/>
      <c r="E1" s="80"/>
      <c r="F1" s="80"/>
      <c r="G1" s="80"/>
    </row>
    <row r="2" spans="1:7" ht="30">
      <c r="A2" s="81" t="s">
        <v>0</v>
      </c>
      <c r="B2" s="81" t="s">
        <v>289</v>
      </c>
      <c r="C2" s="81" t="s">
        <v>290</v>
      </c>
      <c r="D2" s="81" t="s">
        <v>291</v>
      </c>
      <c r="E2" s="81" t="s">
        <v>292</v>
      </c>
      <c r="F2" s="81" t="s">
        <v>293</v>
      </c>
      <c r="G2" s="81" t="s">
        <v>294</v>
      </c>
    </row>
    <row r="3" spans="1:7">
      <c r="A3" s="82">
        <v>1</v>
      </c>
      <c r="B3" s="83" t="s">
        <v>295</v>
      </c>
      <c r="C3" s="83" t="s">
        <v>296</v>
      </c>
      <c r="D3" s="84">
        <v>5000000</v>
      </c>
      <c r="E3" s="84">
        <f>IF(C3="Member",D3*10%,0)</f>
        <v>500000</v>
      </c>
      <c r="F3" s="84">
        <f>(D3-E3)*11%</f>
        <v>495000</v>
      </c>
      <c r="G3" s="84">
        <f>(D3-E3)+F3</f>
        <v>4995000</v>
      </c>
    </row>
    <row r="4" spans="1:7">
      <c r="A4" s="82">
        <v>2</v>
      </c>
      <c r="B4" s="83" t="s">
        <v>297</v>
      </c>
      <c r="C4" s="83" t="s">
        <v>298</v>
      </c>
      <c r="D4" s="84">
        <v>2500000</v>
      </c>
      <c r="E4" s="84">
        <f t="shared" ref="E4:E8" si="0">IF(C4="Member",D4*10%,0)</f>
        <v>0</v>
      </c>
      <c r="F4" s="84">
        <f t="shared" ref="F4:F8" si="1">(D4-E4)*11%</f>
        <v>275000</v>
      </c>
      <c r="G4" s="84">
        <f t="shared" ref="G4:G8" si="2">(D4-E4)+F4</f>
        <v>2775000</v>
      </c>
    </row>
    <row r="5" spans="1:7">
      <c r="A5" s="82">
        <v>3</v>
      </c>
      <c r="B5" s="83" t="s">
        <v>299</v>
      </c>
      <c r="C5" s="83" t="s">
        <v>296</v>
      </c>
      <c r="D5" s="84">
        <v>10000000</v>
      </c>
      <c r="E5" s="84">
        <f t="shared" si="0"/>
        <v>1000000</v>
      </c>
      <c r="F5" s="84">
        <f t="shared" si="1"/>
        <v>990000</v>
      </c>
      <c r="G5" s="84">
        <f t="shared" si="2"/>
        <v>9990000</v>
      </c>
    </row>
    <row r="6" spans="1:7">
      <c r="A6" s="82">
        <v>4</v>
      </c>
      <c r="B6" s="83" t="s">
        <v>300</v>
      </c>
      <c r="C6" s="83" t="s">
        <v>298</v>
      </c>
      <c r="D6" s="84">
        <v>800000</v>
      </c>
      <c r="E6" s="84">
        <f t="shared" si="0"/>
        <v>0</v>
      </c>
      <c r="F6" s="84">
        <f t="shared" si="1"/>
        <v>88000</v>
      </c>
      <c r="G6" s="84">
        <f t="shared" si="2"/>
        <v>888000</v>
      </c>
    </row>
    <row r="7" spans="1:7">
      <c r="A7" s="82">
        <v>5</v>
      </c>
      <c r="B7" s="83" t="s">
        <v>301</v>
      </c>
      <c r="C7" s="83" t="s">
        <v>296</v>
      </c>
      <c r="D7" s="84">
        <v>1500000</v>
      </c>
      <c r="E7" s="84">
        <f t="shared" si="0"/>
        <v>150000</v>
      </c>
      <c r="F7" s="84">
        <f t="shared" si="1"/>
        <v>148500</v>
      </c>
      <c r="G7" s="84">
        <f t="shared" si="2"/>
        <v>1498500</v>
      </c>
    </row>
    <row r="8" spans="1:7">
      <c r="A8" s="82">
        <v>6</v>
      </c>
      <c r="B8" s="83" t="s">
        <v>302</v>
      </c>
      <c r="C8" s="83" t="s">
        <v>298</v>
      </c>
      <c r="D8" s="84">
        <v>3000000</v>
      </c>
      <c r="E8" s="84">
        <f t="shared" si="0"/>
        <v>0</v>
      </c>
      <c r="F8" s="84">
        <f t="shared" si="1"/>
        <v>330000</v>
      </c>
      <c r="G8" s="84">
        <f t="shared" si="2"/>
        <v>3330000</v>
      </c>
    </row>
    <row r="9" spans="1:7">
      <c r="A9" s="85" t="s">
        <v>303</v>
      </c>
      <c r="B9" s="85"/>
      <c r="C9" s="85"/>
      <c r="D9" s="85"/>
      <c r="E9" s="85"/>
      <c r="F9" s="86">
        <f>SUM(G3:G8)</f>
        <v>23476500</v>
      </c>
      <c r="G9" s="86"/>
    </row>
    <row r="10" spans="1:7">
      <c r="A10" s="85" t="s">
        <v>304</v>
      </c>
      <c r="B10" s="85"/>
      <c r="C10" s="85"/>
      <c r="D10" s="85"/>
      <c r="E10" s="85"/>
      <c r="F10" s="86">
        <f>AVERAGE(G3:G8)</f>
        <v>3912750</v>
      </c>
      <c r="G10" s="86"/>
    </row>
    <row r="11" spans="1:7">
      <c r="A11" s="85" t="s">
        <v>305</v>
      </c>
      <c r="B11" s="85"/>
      <c r="C11" s="85"/>
      <c r="D11" s="85"/>
      <c r="E11" s="85"/>
      <c r="F11" s="86">
        <f>MAX(D3:D8)</f>
        <v>10000000</v>
      </c>
      <c r="G11" s="86"/>
    </row>
  </sheetData>
  <mergeCells count="7">
    <mergeCell ref="A1:G1"/>
    <mergeCell ref="A9:E9"/>
    <mergeCell ref="F9:G9"/>
    <mergeCell ref="A10:E10"/>
    <mergeCell ref="F10:G10"/>
    <mergeCell ref="A11:E11"/>
    <mergeCell ref="F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Perkantoran</vt:lpstr>
      <vt:lpstr>Umum</vt:lpstr>
      <vt:lpstr>Marketing</vt:lpstr>
      <vt:lpstr>Gudang</vt:lpstr>
      <vt:lpstr>Gudang Stok</vt:lpstr>
      <vt:lpstr>Finance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Heryanti Sattu</dc:creator>
  <cp:lastModifiedBy>Suci Intan Aisyah</cp:lastModifiedBy>
  <dcterms:created xsi:type="dcterms:W3CDTF">2025-10-25T01:27:55Z</dcterms:created>
  <dcterms:modified xsi:type="dcterms:W3CDTF">2026-08-19T09:35:48Z</dcterms:modified>
</cp:coreProperties>
</file>