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codeName="ThisWorkbook" defaultThemeVersion="124226"/>
  <xr:revisionPtr revIDLastSave="0" documentId="13_ncr:1_{9E1E0476-D8C6-4203-A6A9-B27235A9BF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Penjualan Toko Sembako" sheetId="1" r:id="rId1"/>
    <sheet name="Data penjualan Toko Bangunan" sheetId="2" r:id="rId2"/>
  </sheets>
  <definedNames>
    <definedName name="kode_jawaban">'Data Penjualan Toko Sembako'!$C$102</definedName>
  </definedNames>
  <calcPr calcId="191029"/>
</workbook>
</file>

<file path=xl/calcChain.xml><?xml version="1.0" encoding="utf-8"?>
<calcChain xmlns="http://schemas.openxmlformats.org/spreadsheetml/2006/main">
  <c r="I20" i="2" l="1"/>
  <c r="K20" i="2"/>
  <c r="K19" i="2"/>
  <c r="L20" i="2"/>
  <c r="L19" i="2"/>
  <c r="H20" i="2"/>
  <c r="H19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4" i="2"/>
  <c r="J20" i="2"/>
  <c r="J19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I19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4" i="2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I98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I99" i="1" s="1"/>
  <c r="K3" i="1"/>
  <c r="L3" i="1" s="1"/>
  <c r="H98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E98" i="1" s="1"/>
  <c r="G19" i="1"/>
  <c r="G18" i="1"/>
  <c r="F4" i="1"/>
  <c r="F5" i="1"/>
  <c r="F6" i="1"/>
  <c r="F7" i="1"/>
  <c r="F8" i="1"/>
  <c r="F9" i="1"/>
  <c r="D98" i="1" s="1"/>
  <c r="F10" i="1"/>
  <c r="F11" i="1"/>
  <c r="F12" i="1"/>
  <c r="F13" i="1"/>
  <c r="F14" i="1"/>
  <c r="F15" i="1"/>
  <c r="F16" i="1"/>
  <c r="F17" i="1"/>
  <c r="D99" i="1" s="1"/>
  <c r="F3" i="1"/>
  <c r="D97" i="1" s="1"/>
  <c r="D4" i="1"/>
  <c r="D5" i="1"/>
  <c r="D6" i="1"/>
  <c r="D7" i="1"/>
  <c r="D8" i="1"/>
  <c r="D9" i="1"/>
  <c r="D10" i="1"/>
  <c r="C95" i="1" s="1"/>
  <c r="D11" i="1"/>
  <c r="D12" i="1"/>
  <c r="D13" i="1"/>
  <c r="D14" i="1"/>
  <c r="D15" i="1"/>
  <c r="D16" i="1"/>
  <c r="D17" i="1"/>
  <c r="D3" i="1"/>
  <c r="C94" i="1" s="1"/>
  <c r="H99" i="1"/>
  <c r="E99" i="1"/>
  <c r="C96" i="1"/>
  <c r="C100" i="1"/>
  <c r="J101" i="1"/>
  <c r="F101" i="1"/>
  <c r="G101" i="1"/>
  <c r="D103" i="1"/>
  <c r="I101" i="1"/>
  <c r="E101" i="1"/>
  <c r="H101" i="1"/>
  <c r="K101" i="1"/>
  <c r="C98" i="1"/>
  <c r="L101" i="1"/>
  <c r="D101" i="1"/>
  <c r="J13" i="1" l="1"/>
  <c r="M13" i="1" s="1"/>
  <c r="J9" i="1"/>
  <c r="M9" i="1" s="1"/>
  <c r="J5" i="1"/>
  <c r="M5" i="1" s="1"/>
  <c r="J14" i="1"/>
  <c r="M14" i="1" s="1"/>
  <c r="J10" i="1"/>
  <c r="M10" i="1" s="1"/>
  <c r="J6" i="1"/>
  <c r="M6" i="1" s="1"/>
  <c r="J16" i="1"/>
  <c r="M16" i="1" s="1"/>
  <c r="J12" i="1"/>
  <c r="M12" i="1" s="1"/>
  <c r="J8" i="1"/>
  <c r="M8" i="1" s="1"/>
  <c r="J4" i="1"/>
  <c r="M4" i="1" s="1"/>
  <c r="F98" i="1"/>
  <c r="I17" i="1"/>
  <c r="J15" i="1"/>
  <c r="M15" i="1" s="1"/>
  <c r="J11" i="1"/>
  <c r="G98" i="1" s="1"/>
  <c r="J7" i="1"/>
  <c r="M7" i="1" s="1"/>
  <c r="I97" i="1"/>
  <c r="F97" i="1"/>
  <c r="J3" i="1"/>
  <c r="M3" i="1" s="1"/>
  <c r="J97" i="1" s="1"/>
  <c r="E97" i="1"/>
  <c r="I103" i="1"/>
  <c r="E103" i="1"/>
  <c r="M11" i="1" l="1"/>
  <c r="J98" i="1" s="1"/>
  <c r="F99" i="1"/>
  <c r="F103" i="1" s="1"/>
  <c r="J17" i="1"/>
  <c r="G99" i="1" s="1"/>
  <c r="G97" i="1"/>
  <c r="H97" i="1"/>
  <c r="G103" i="1"/>
  <c r="H103" i="1"/>
  <c r="M17" i="1" l="1"/>
  <c r="J99" i="1" s="1"/>
  <c r="J103" i="1"/>
  <c r="C102" i="1" l="1"/>
  <c r="M19" i="1"/>
  <c r="L97" i="1" s="1"/>
  <c r="L103" i="1" s="1"/>
  <c r="M18" i="1"/>
  <c r="K97" i="1" s="1"/>
  <c r="K103" i="1" s="1"/>
</calcChain>
</file>

<file path=xl/sharedStrings.xml><?xml version="1.0" encoding="utf-8"?>
<sst xmlns="http://schemas.openxmlformats.org/spreadsheetml/2006/main" count="165" uniqueCount="84">
  <si>
    <t>No</t>
  </si>
  <si>
    <t>Total</t>
  </si>
  <si>
    <t>Kode Produk</t>
  </si>
  <si>
    <t>Nama Produk</t>
  </si>
  <si>
    <t>Harga Satuan</t>
  </si>
  <si>
    <t>Diskon</t>
  </si>
  <si>
    <t>Kode Pelanggan</t>
  </si>
  <si>
    <t>Nama Pelanggan</t>
  </si>
  <si>
    <t>Tanggal</t>
  </si>
  <si>
    <t>Total Penjualan</t>
  </si>
  <si>
    <t>Penjualan Bersih</t>
  </si>
  <si>
    <t>Kode</t>
  </si>
  <si>
    <t>Nama</t>
  </si>
  <si>
    <t>Qty</t>
  </si>
  <si>
    <t>Toko Cemerlang</t>
  </si>
  <si>
    <t>Toko Bagus</t>
  </si>
  <si>
    <t>Toko Bahagia</t>
  </si>
  <si>
    <t>P-001</t>
  </si>
  <si>
    <t>P-002</t>
  </si>
  <si>
    <t>P-003</t>
  </si>
  <si>
    <t>B001</t>
  </si>
  <si>
    <t>B002</t>
  </si>
  <si>
    <t>B003</t>
  </si>
  <si>
    <t>B004</t>
  </si>
  <si>
    <t>Rata-Rata</t>
  </si>
  <si>
    <t>Daftar Produk</t>
  </si>
  <si>
    <t>Daftar Pelanggan</t>
  </si>
  <si>
    <t>Total Penjualan adalah Qty dikali Harga Satuan</t>
  </si>
  <si>
    <t>Totalkan semua Qty dan Penjualan Bersih</t>
  </si>
  <si>
    <t>Rata-Ratakan semua Qty dan Penjualan Bersih</t>
  </si>
  <si>
    <t>B005</t>
  </si>
  <si>
    <t>Total Diskon</t>
  </si>
  <si>
    <t>dst</t>
  </si>
  <si>
    <t>QTY Min</t>
  </si>
  <si>
    <t>QTY Max</t>
  </si>
  <si>
    <t xml:space="preserve">DAFTAR PENJUALAN </t>
  </si>
  <si>
    <r>
      <t xml:space="preserve">Isi Diskon berdasarkan table diskon dengan </t>
    </r>
    <r>
      <rPr>
        <b/>
        <sz val="11"/>
        <color rgb="FF00B050"/>
        <rFont val="Calibri"/>
        <family val="2"/>
        <scheme val="minor"/>
      </rPr>
      <t>HLOOKUP</t>
    </r>
    <r>
      <rPr>
        <sz val="11"/>
        <color theme="1"/>
        <rFont val="Calibri"/>
        <family val="2"/>
        <scheme val="minor"/>
      </rPr>
      <t xml:space="preserve"> dan dikali Total Penjualan</t>
    </r>
  </si>
  <si>
    <t>Penjualan Bersih adalah Total Penjualan dikurangi Diskon dikurangi Harga Bonus</t>
  </si>
  <si>
    <t>Table Harga Bonus</t>
  </si>
  <si>
    <t>Item</t>
  </si>
  <si>
    <t>Harga</t>
  </si>
  <si>
    <t>Samsung S20</t>
  </si>
  <si>
    <t>iPhone XR</t>
  </si>
  <si>
    <t>Mendoan</t>
  </si>
  <si>
    <t>Harga Bonus</t>
  </si>
  <si>
    <t>Item Bonus</t>
  </si>
  <si>
    <t xml:space="preserve">SOAL : VLOOKUP dan HLOOKUP </t>
  </si>
  <si>
    <t>Kode Jawaban</t>
  </si>
  <si>
    <r>
      <t xml:space="preserve">Harga Bonus diambil dari Table Harga Bonus Gunakan </t>
    </r>
    <r>
      <rPr>
        <b/>
        <sz val="11"/>
        <color rgb="FF00B050"/>
        <rFont val="Calibri"/>
        <family val="2"/>
        <scheme val="minor"/>
      </rPr>
      <t>VLOOKUP</t>
    </r>
  </si>
  <si>
    <r>
      <t xml:space="preserve">Isi Harga Satuan berdasarkan tabel Daftar Produk Dengan </t>
    </r>
    <r>
      <rPr>
        <b/>
        <sz val="11"/>
        <color rgb="FF00B050"/>
        <rFont val="Calibri"/>
        <family val="2"/>
        <scheme val="minor"/>
      </rPr>
      <t>VLOOKUP</t>
    </r>
  </si>
  <si>
    <r>
      <t xml:space="preserve">Isi Nama Produk berdasarkan tabel Daftar Produk Dengan </t>
    </r>
    <r>
      <rPr>
        <b/>
        <sz val="11"/>
        <color rgb="FF00B050"/>
        <rFont val="Calibri"/>
        <family val="2"/>
        <scheme val="minor"/>
      </rPr>
      <t>VLOOKUP</t>
    </r>
  </si>
  <si>
    <t>DEF</t>
  </si>
  <si>
    <r>
      <t xml:space="preserve">Isi Item Bonus, Jika QTY 0-10 Bonus "iPhone XR", jika QTY 11-15 Bonus "Samsung S20", Jika Lebih dari 15 Bonus , "Mendoan", dan gunakan rumus </t>
    </r>
    <r>
      <rPr>
        <b/>
        <sz val="11"/>
        <color rgb="FF00B050"/>
        <rFont val="Calibri"/>
        <family val="2"/>
        <scheme val="minor"/>
      </rPr>
      <t>VLOOKUP</t>
    </r>
  </si>
  <si>
    <t>DEF1</t>
  </si>
  <si>
    <t>Detergen</t>
  </si>
  <si>
    <t>Sabun Cuci Piring</t>
  </si>
  <si>
    <t>Pembersih Lantai</t>
  </si>
  <si>
    <t>Pewangi Pakaian</t>
  </si>
  <si>
    <t>Minyak Goreng</t>
  </si>
  <si>
    <r>
      <t xml:space="preserve">Isi Nama Pelanggan berdasarkan tabel Daftar Pelanggan dengan </t>
    </r>
    <r>
      <rPr>
        <b/>
        <sz val="11"/>
        <color rgb="FF5ECA5E"/>
        <rFont val="Calibri"/>
        <family val="2"/>
        <scheme val="minor"/>
      </rPr>
      <t>H</t>
    </r>
    <r>
      <rPr>
        <b/>
        <sz val="11"/>
        <color rgb="FF00B050"/>
        <rFont val="Calibri"/>
        <family val="2"/>
        <scheme val="minor"/>
      </rPr>
      <t>LOOKUP</t>
    </r>
  </si>
  <si>
    <t>Pelanggan</t>
  </si>
  <si>
    <t>NF-01</t>
  </si>
  <si>
    <t>B-05</t>
  </si>
  <si>
    <t>AN-02</t>
  </si>
  <si>
    <t>B-10</t>
  </si>
  <si>
    <t>Toko Nofri</t>
  </si>
  <si>
    <t>CT-03</t>
  </si>
  <si>
    <t>P-5</t>
  </si>
  <si>
    <t>Toko Anton</t>
  </si>
  <si>
    <t>P-10</t>
  </si>
  <si>
    <t>Toko Central</t>
  </si>
  <si>
    <t>Produk</t>
  </si>
  <si>
    <t>Besi 5 Meter</t>
  </si>
  <si>
    <t>Besi 10 Meter</t>
  </si>
  <si>
    <t>Pipa 5 Meter</t>
  </si>
  <si>
    <t>Pipa 10 Meter</t>
  </si>
  <si>
    <t>Rata Rata Penjualan Harian</t>
  </si>
  <si>
    <t>Soal</t>
  </si>
  <si>
    <t>Isi Nama Pelanggan, Nama Produk, Harga Satuan (Gunakan kode VLOOKUP)</t>
  </si>
  <si>
    <t>Isi Total Penjualan (Rumus Perkalian)</t>
  </si>
  <si>
    <t>Jika qty pembelian diatas 200, maka diskon 10%, jika diatas 500, maka 20% (Gunakan Rumus IF)</t>
  </si>
  <si>
    <t>Isi Penjualan Bersih (Rumus Perkalian)</t>
  </si>
  <si>
    <t>Totalkan semua Qty dan Penjualan Bersih (, dan Rata Rata kan (Rumus Pembagian).</t>
  </si>
  <si>
    <t xml:space="preserve">Daftar Penjualan 3 Hari Terakhir Toko Bangunan Jaya Abadi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</si>
</sst>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[$Rp-421]* #,##0_-;\-[$Rp-421]* #,##0_-;_-[$Rp-421]* &quot;-&quot;_-;_-@_-"/>
    <numFmt numFmtId="168" formatCode="_-[$Rp-3809]* #,##0_-;\-[$Rp-3809]* #,##0_-;_-[$Rp-3809]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5ECA5E"/>
      <name val="Calibri"/>
      <family val="2"/>
      <scheme val="minor"/>
    </font>
    <font>
      <b/>
      <sz val="10"/>
      <name val="Yu Gothic UI Semibold"/>
      <family val="2"/>
    </font>
    <font>
      <sz val="10"/>
      <color theme="1"/>
      <name val="Yu Gothic UI Semibold"/>
      <family val="2"/>
    </font>
    <font>
      <b/>
      <sz val="10"/>
      <color theme="1"/>
      <name val="Yu Gothic UI Semibold"/>
      <family val="2"/>
    </font>
    <font>
      <b/>
      <sz val="10"/>
      <color theme="0"/>
      <name val="Yu Gothic UI Semibold"/>
      <family val="2"/>
    </font>
    <font>
      <sz val="11"/>
      <color rgb="FFFF0000"/>
      <name val="Yu Gothic UI Semibold"/>
      <family val="2"/>
    </font>
    <font>
      <i/>
      <sz val="11"/>
      <color rgb="FFFF0000"/>
      <name val="Yu Gothic UI Semibold"/>
      <family val="2"/>
    </font>
    <font>
      <sz val="11"/>
      <color theme="1"/>
      <name val="Yu Gothic UI Semibold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bgColor theme="0" tint="-0.14996795556505021"/>
      </patternFill>
    </fill>
    <fill>
      <patternFill patternType="solid">
        <fgColor rgb="FFFCFD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164" fontId="1" fillId="0" borderId="1" xfId="0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65" fontId="0" fillId="0" borderId="1" xfId="1" applyNumberFormat="1" applyFont="1" applyBorder="1" applyAlignment="1">
      <alignment horizontal="center"/>
    </xf>
    <xf numFmtId="165" fontId="0" fillId="3" borderId="1" xfId="1" applyNumberFormat="1" applyFont="1" applyFill="1" applyBorder="1" applyAlignment="1"/>
    <xf numFmtId="165" fontId="0" fillId="3" borderId="1" xfId="0" applyNumberFormat="1" applyFill="1" applyBorder="1"/>
    <xf numFmtId="0" fontId="0" fillId="0" borderId="0" xfId="0" applyAlignment="1">
      <alignment horizontal="left"/>
    </xf>
    <xf numFmtId="164" fontId="0" fillId="0" borderId="0" xfId="1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9" fontId="0" fillId="3" borderId="1" xfId="2" applyFont="1" applyFill="1" applyBorder="1" applyAlignment="1">
      <alignment horizontal="center"/>
    </xf>
    <xf numFmtId="0" fontId="6" fillId="0" borderId="0" xfId="0" applyFont="1"/>
    <xf numFmtId="0" fontId="1" fillId="0" borderId="0" xfId="0" applyFont="1"/>
    <xf numFmtId="0" fontId="1" fillId="0" borderId="5" xfId="0" applyFont="1" applyBorder="1"/>
    <xf numFmtId="165" fontId="0" fillId="0" borderId="0" xfId="0" applyNumberFormat="1"/>
    <xf numFmtId="165" fontId="1" fillId="3" borderId="1" xfId="1" applyNumberFormat="1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/>
    <xf numFmtId="0" fontId="0" fillId="0" borderId="2" xfId="0" applyBorder="1" applyAlignment="1"/>
    <xf numFmtId="165" fontId="0" fillId="0" borderId="1" xfId="1" applyNumberFormat="1" applyFont="1" applyBorder="1" applyAlignment="1">
      <alignment horizontal="left"/>
    </xf>
    <xf numFmtId="168" fontId="0" fillId="0" borderId="1" xfId="0" applyNumberFormat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7" fillId="0" borderId="0" xfId="0" applyFont="1" applyFill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10" fillId="0" borderId="0" xfId="0" applyFont="1"/>
    <xf numFmtId="0" fontId="11" fillId="4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11" fillId="0" borderId="1" xfId="1" applyNumberFormat="1" applyFont="1" applyBorder="1" applyAlignment="1">
      <alignment horizontal="center"/>
    </xf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4" applyAlignment="1">
      <alignment horizontal="center"/>
    </xf>
    <xf numFmtId="0" fontId="10" fillId="0" borderId="0" xfId="0" applyFont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8" fontId="10" fillId="0" borderId="1" xfId="3" applyNumberFormat="1" applyFont="1" applyBorder="1" applyAlignment="1">
      <alignment horizontal="center"/>
    </xf>
    <xf numFmtId="168" fontId="11" fillId="0" borderId="9" xfId="0" applyNumberFormat="1" applyFont="1" applyBorder="1" applyAlignment="1">
      <alignment horizontal="center"/>
    </xf>
    <xf numFmtId="168" fontId="11" fillId="0" borderId="1" xfId="0" applyNumberFormat="1" applyFont="1" applyBorder="1" applyAlignment="1">
      <alignment horizontal="center"/>
    </xf>
    <xf numFmtId="168" fontId="10" fillId="0" borderId="1" xfId="1" applyNumberFormat="1" applyFont="1" applyBorder="1" applyAlignment="1">
      <alignment horizontal="center"/>
    </xf>
    <xf numFmtId="168" fontId="11" fillId="0" borderId="1" xfId="1" applyNumberFormat="1" applyFont="1" applyBorder="1" applyAlignment="1">
      <alignment horizontal="center"/>
    </xf>
    <xf numFmtId="9" fontId="11" fillId="0" borderId="9" xfId="0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</cellXfs>
  <cellStyles count="5">
    <cellStyle name="Comma" xfId="1" builtinId="3"/>
    <cellStyle name="Comma [0]" xfId="3" builtinId="6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5ECA5E"/>
      <color rgb="FFFCFDE9"/>
      <color rgb="FFF8F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5"/>
  <sheetViews>
    <sheetView tabSelected="1" zoomScale="76" zoomScaleNormal="235" workbookViewId="0">
      <selection activeCell="E38" sqref="E38"/>
    </sheetView>
  </sheetViews>
  <sheetFormatPr defaultRowHeight="15" x14ac:dyDescent="0.25"/>
  <cols>
    <col min="1" max="1" width="3.28515625" customWidth="1"/>
    <col min="2" max="2" width="14.85546875" customWidth="1"/>
    <col min="3" max="3" width="16.42578125" bestFit="1" customWidth="1"/>
    <col min="4" max="4" width="15.85546875" bestFit="1" customWidth="1"/>
    <col min="5" max="5" width="10.85546875" customWidth="1"/>
    <col min="6" max="6" width="23.42578125" customWidth="1"/>
    <col min="7" max="7" width="18.42578125" customWidth="1"/>
    <col min="8" max="8" width="16.42578125" bestFit="1" customWidth="1"/>
    <col min="9" max="9" width="17" customWidth="1"/>
    <col min="10" max="10" width="16.42578125" bestFit="1" customWidth="1"/>
    <col min="11" max="11" width="16.42578125" customWidth="1"/>
    <col min="12" max="12" width="16.7109375" customWidth="1"/>
    <col min="13" max="13" width="16.42578125" bestFit="1" customWidth="1"/>
    <col min="14" max="14" width="11.5703125" customWidth="1"/>
    <col min="15" max="15" width="15.42578125" bestFit="1" customWidth="1"/>
    <col min="16" max="16" width="12.28515625" bestFit="1" customWidth="1"/>
    <col min="17" max="17" width="12.140625" bestFit="1" customWidth="1"/>
  </cols>
  <sheetData>
    <row r="1" spans="1:14" ht="19.5" customHeight="1" x14ac:dyDescent="0.25">
      <c r="A1" s="34" t="s">
        <v>35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N1" s="4"/>
    </row>
    <row r="2" spans="1:14" s="1" customFormat="1" ht="27" customHeight="1" x14ac:dyDescent="0.25">
      <c r="A2" s="19" t="s">
        <v>0</v>
      </c>
      <c r="B2" s="19" t="s">
        <v>8</v>
      </c>
      <c r="C2" s="20" t="s">
        <v>6</v>
      </c>
      <c r="D2" s="19" t="s">
        <v>7</v>
      </c>
      <c r="E2" s="20" t="s">
        <v>2</v>
      </c>
      <c r="F2" s="19" t="s">
        <v>3</v>
      </c>
      <c r="G2" s="19" t="s">
        <v>13</v>
      </c>
      <c r="H2" s="20" t="s">
        <v>4</v>
      </c>
      <c r="I2" s="20" t="s">
        <v>9</v>
      </c>
      <c r="J2" s="19" t="s">
        <v>5</v>
      </c>
      <c r="K2" s="19" t="s">
        <v>45</v>
      </c>
      <c r="L2" s="20" t="s">
        <v>44</v>
      </c>
      <c r="M2" s="20" t="s">
        <v>10</v>
      </c>
    </row>
    <row r="3" spans="1:14" x14ac:dyDescent="0.25">
      <c r="A3" s="3">
        <v>1</v>
      </c>
      <c r="B3" s="2">
        <v>45139</v>
      </c>
      <c r="C3" s="3" t="s">
        <v>18</v>
      </c>
      <c r="D3" s="13" t="str">
        <f>HLOOKUP(C3,$G$22:$J$23,2,FALSE)</f>
        <v>Toko Bagus</v>
      </c>
      <c r="E3" s="3" t="s">
        <v>22</v>
      </c>
      <c r="F3" s="13" t="str">
        <f>VLOOKUP(E3,$G$26:$I$31,2,FALSE)</f>
        <v>Pembersih Lantai</v>
      </c>
      <c r="G3" s="3">
        <v>2</v>
      </c>
      <c r="H3" s="15">
        <f>VLOOKUP(E3,$G$26:$I$31,3,FALSE)</f>
        <v>30200</v>
      </c>
      <c r="I3" s="15">
        <f>G3*H3</f>
        <v>60400</v>
      </c>
      <c r="J3" s="16">
        <f>VLOOKUP(G3,$K$27:$M$29,3,TRUE)*I3</f>
        <v>3020</v>
      </c>
      <c r="K3" s="16" t="str">
        <f>VLOOKUP(G3,CHOOSE({1,2},{0;11;16},{"iPhone XR";"Samsung S20";"Mendoan"}),2,TRUE)</f>
        <v>iPhone XR</v>
      </c>
      <c r="L3" s="15">
        <f>VLOOKUP(K3,CHOOSE({1,2},$H$35:$H$37,$G$35:$G$37),2,FALSE)</f>
        <v>4500</v>
      </c>
      <c r="M3" s="15">
        <f>I3-J3-L3</f>
        <v>52880</v>
      </c>
    </row>
    <row r="4" spans="1:14" x14ac:dyDescent="0.25">
      <c r="A4" s="3">
        <v>2</v>
      </c>
      <c r="B4" s="2">
        <v>45139</v>
      </c>
      <c r="C4" s="3" t="s">
        <v>17</v>
      </c>
      <c r="D4" s="13" t="str">
        <f t="shared" ref="D4:D17" si="0">HLOOKUP(C4,$G$22:$J$23,2,FALSE)</f>
        <v>Toko Cemerlang</v>
      </c>
      <c r="E4" s="3" t="s">
        <v>23</v>
      </c>
      <c r="F4" s="13" t="str">
        <f t="shared" ref="F4:F17" si="1">VLOOKUP(E4,$G$26:$I$31,2,FALSE)</f>
        <v>Pewangi Pakaian</v>
      </c>
      <c r="G4" s="3">
        <v>7</v>
      </c>
      <c r="H4" s="15">
        <f t="shared" ref="H4:H17" si="2">VLOOKUP(E4,$G$26:$I$31,3,FALSE)</f>
        <v>32500</v>
      </c>
      <c r="I4" s="15">
        <f t="shared" ref="I4:I17" si="3">G4*H4</f>
        <v>227500</v>
      </c>
      <c r="J4" s="16">
        <f t="shared" ref="J4:J17" si="4">VLOOKUP(G4,$K$27:$M$29,3,TRUE)*I4</f>
        <v>11375</v>
      </c>
      <c r="K4" s="16" t="str">
        <f>VLOOKUP(G4,CHOOSE({1,2},{0;11;16},{"iPhone XR";"Samsung S20";"Mendoan"}),2,TRUE)</f>
        <v>iPhone XR</v>
      </c>
      <c r="L4" s="15">
        <f>VLOOKUP(K4,CHOOSE({1,2},$H$35:$H$37,$G$35:$G$37),2,FALSE)</f>
        <v>4500</v>
      </c>
      <c r="M4" s="15">
        <f t="shared" ref="M4:M17" si="5">I4-J4-L4</f>
        <v>211625</v>
      </c>
    </row>
    <row r="5" spans="1:14" x14ac:dyDescent="0.25">
      <c r="A5" s="3">
        <v>3</v>
      </c>
      <c r="B5" s="2">
        <v>45140</v>
      </c>
      <c r="C5" s="3" t="s">
        <v>19</v>
      </c>
      <c r="D5" s="13" t="str">
        <f t="shared" si="0"/>
        <v>Toko Bahagia</v>
      </c>
      <c r="E5" s="3" t="s">
        <v>21</v>
      </c>
      <c r="F5" s="13" t="str">
        <f t="shared" si="1"/>
        <v>Sabun Cuci Piring</v>
      </c>
      <c r="G5" s="3">
        <v>17</v>
      </c>
      <c r="H5" s="15">
        <f t="shared" si="2"/>
        <v>19900</v>
      </c>
      <c r="I5" s="15">
        <f t="shared" si="3"/>
        <v>338300</v>
      </c>
      <c r="J5" s="16">
        <f t="shared" si="4"/>
        <v>84575</v>
      </c>
      <c r="K5" s="16" t="str">
        <f>VLOOKUP(G5,CHOOSE({1,2},{0;11;16},{"iPhone XR";"Samsung S20";"Mendoan"}),2,TRUE)</f>
        <v>Mendoan</v>
      </c>
      <c r="L5" s="15">
        <f>VLOOKUP(K5,CHOOSE({1,2},$H$35:$H$37,$G$35:$G$37),2,FALSE)</f>
        <v>7500</v>
      </c>
      <c r="M5" s="15">
        <f t="shared" si="5"/>
        <v>246225</v>
      </c>
    </row>
    <row r="6" spans="1:14" x14ac:dyDescent="0.25">
      <c r="A6" s="3">
        <v>4</v>
      </c>
      <c r="B6" s="2">
        <v>45140</v>
      </c>
      <c r="C6" s="3" t="s">
        <v>18</v>
      </c>
      <c r="D6" s="13" t="str">
        <f t="shared" si="0"/>
        <v>Toko Bagus</v>
      </c>
      <c r="E6" s="3" t="s">
        <v>22</v>
      </c>
      <c r="F6" s="13" t="str">
        <f t="shared" si="1"/>
        <v>Pembersih Lantai</v>
      </c>
      <c r="G6" s="3">
        <v>9</v>
      </c>
      <c r="H6" s="15">
        <f t="shared" si="2"/>
        <v>30200</v>
      </c>
      <c r="I6" s="15">
        <f t="shared" si="3"/>
        <v>271800</v>
      </c>
      <c r="J6" s="16">
        <f t="shared" si="4"/>
        <v>13590</v>
      </c>
      <c r="K6" s="16" t="str">
        <f>VLOOKUP(G6,CHOOSE({1,2},{0;11;16},{"iPhone XR";"Samsung S20";"Mendoan"}),2,TRUE)</f>
        <v>iPhone XR</v>
      </c>
      <c r="L6" s="15">
        <f>VLOOKUP(K6,CHOOSE({1,2},$H$35:$H$37,$G$35:$G$37),2,FALSE)</f>
        <v>4500</v>
      </c>
      <c r="M6" s="15">
        <f t="shared" si="5"/>
        <v>253710</v>
      </c>
    </row>
    <row r="7" spans="1:14" x14ac:dyDescent="0.25">
      <c r="A7" s="3">
        <v>5</v>
      </c>
      <c r="B7" s="2">
        <v>45141</v>
      </c>
      <c r="C7" s="3" t="s">
        <v>17</v>
      </c>
      <c r="D7" s="13" t="str">
        <f t="shared" si="0"/>
        <v>Toko Cemerlang</v>
      </c>
      <c r="E7" s="3" t="s">
        <v>22</v>
      </c>
      <c r="F7" s="13" t="str">
        <f t="shared" si="1"/>
        <v>Pembersih Lantai</v>
      </c>
      <c r="G7" s="3">
        <v>14</v>
      </c>
      <c r="H7" s="15">
        <f t="shared" si="2"/>
        <v>30200</v>
      </c>
      <c r="I7" s="15">
        <f t="shared" si="3"/>
        <v>422800</v>
      </c>
      <c r="J7" s="16">
        <f t="shared" si="4"/>
        <v>42280</v>
      </c>
      <c r="K7" s="16" t="str">
        <f>VLOOKUP(G7,CHOOSE({1,2},{0;11;16},{"iPhone XR";"Samsung S20";"Mendoan"}),2,TRUE)</f>
        <v>Samsung S20</v>
      </c>
      <c r="L7" s="15">
        <f>VLOOKUP(K7,CHOOSE({1,2},$H$35:$H$37,$G$35:$G$37),2,FALSE)</f>
        <v>3500</v>
      </c>
      <c r="M7" s="15">
        <f t="shared" si="5"/>
        <v>377020</v>
      </c>
    </row>
    <row r="8" spans="1:14" x14ac:dyDescent="0.25">
      <c r="A8" s="3">
        <v>6</v>
      </c>
      <c r="B8" s="2">
        <v>45142</v>
      </c>
      <c r="C8" s="3" t="s">
        <v>18</v>
      </c>
      <c r="D8" s="13" t="str">
        <f t="shared" si="0"/>
        <v>Toko Bagus</v>
      </c>
      <c r="E8" s="3" t="s">
        <v>21</v>
      </c>
      <c r="F8" s="13" t="str">
        <f t="shared" si="1"/>
        <v>Sabun Cuci Piring</v>
      </c>
      <c r="G8" s="3">
        <v>7</v>
      </c>
      <c r="H8" s="15">
        <f t="shared" si="2"/>
        <v>19900</v>
      </c>
      <c r="I8" s="15">
        <f t="shared" si="3"/>
        <v>139300</v>
      </c>
      <c r="J8" s="16">
        <f t="shared" si="4"/>
        <v>6965</v>
      </c>
      <c r="K8" s="16" t="str">
        <f>VLOOKUP(G8,CHOOSE({1,2},{0;11;16},{"iPhone XR";"Samsung S20";"Mendoan"}),2,TRUE)</f>
        <v>iPhone XR</v>
      </c>
      <c r="L8" s="15">
        <f>VLOOKUP(K8,CHOOSE({1,2},$H$35:$H$37,$G$35:$G$37),2,FALSE)</f>
        <v>4500</v>
      </c>
      <c r="M8" s="15">
        <f t="shared" si="5"/>
        <v>127835</v>
      </c>
    </row>
    <row r="9" spans="1:14" x14ac:dyDescent="0.25">
      <c r="A9" s="3">
        <v>7</v>
      </c>
      <c r="B9" s="2">
        <v>45143</v>
      </c>
      <c r="C9" s="3" t="s">
        <v>17</v>
      </c>
      <c r="D9" s="13" t="str">
        <f t="shared" si="0"/>
        <v>Toko Cemerlang</v>
      </c>
      <c r="E9" s="3" t="s">
        <v>30</v>
      </c>
      <c r="F9" s="13" t="str">
        <f t="shared" si="1"/>
        <v>Minyak Goreng</v>
      </c>
      <c r="G9" s="3">
        <v>10</v>
      </c>
      <c r="H9" s="15">
        <f t="shared" si="2"/>
        <v>23600</v>
      </c>
      <c r="I9" s="15">
        <f t="shared" si="3"/>
        <v>236000</v>
      </c>
      <c r="J9" s="16">
        <f t="shared" si="4"/>
        <v>11800</v>
      </c>
      <c r="K9" s="16" t="str">
        <f>VLOOKUP(G9,CHOOSE({1,2},{0;11;16},{"iPhone XR";"Samsung S20";"Mendoan"}),2,TRUE)</f>
        <v>iPhone XR</v>
      </c>
      <c r="L9" s="15">
        <f>VLOOKUP(K9,CHOOSE({1,2},$H$35:$H$37,$G$35:$G$37),2,FALSE)</f>
        <v>4500</v>
      </c>
      <c r="M9" s="15">
        <f t="shared" si="5"/>
        <v>219700</v>
      </c>
    </row>
    <row r="10" spans="1:14" x14ac:dyDescent="0.25">
      <c r="A10" s="3">
        <v>8</v>
      </c>
      <c r="B10" s="2">
        <v>45144</v>
      </c>
      <c r="C10" s="3" t="s">
        <v>18</v>
      </c>
      <c r="D10" s="13" t="str">
        <f t="shared" si="0"/>
        <v>Toko Bagus</v>
      </c>
      <c r="E10" s="3" t="s">
        <v>22</v>
      </c>
      <c r="F10" s="13" t="str">
        <f t="shared" si="1"/>
        <v>Pembersih Lantai</v>
      </c>
      <c r="G10" s="3">
        <v>24</v>
      </c>
      <c r="H10" s="15">
        <f t="shared" si="2"/>
        <v>30200</v>
      </c>
      <c r="I10" s="15">
        <f t="shared" si="3"/>
        <v>724800</v>
      </c>
      <c r="J10" s="16">
        <f t="shared" si="4"/>
        <v>181200</v>
      </c>
      <c r="K10" s="16" t="str">
        <f>VLOOKUP(G10,CHOOSE({1,2},{0;11;16},{"iPhone XR";"Samsung S20";"Mendoan"}),2,TRUE)</f>
        <v>Mendoan</v>
      </c>
      <c r="L10" s="15">
        <f>VLOOKUP(K10,CHOOSE({1,2},$H$35:$H$37,$G$35:$G$37),2,FALSE)</f>
        <v>7500</v>
      </c>
      <c r="M10" s="15">
        <f t="shared" si="5"/>
        <v>536100</v>
      </c>
    </row>
    <row r="11" spans="1:14" x14ac:dyDescent="0.25">
      <c r="A11" s="3">
        <v>9</v>
      </c>
      <c r="B11" s="2">
        <v>45145</v>
      </c>
      <c r="C11" s="3" t="s">
        <v>17</v>
      </c>
      <c r="D11" s="13" t="str">
        <f t="shared" si="0"/>
        <v>Toko Cemerlang</v>
      </c>
      <c r="E11" s="3" t="s">
        <v>30</v>
      </c>
      <c r="F11" s="13" t="str">
        <f t="shared" si="1"/>
        <v>Minyak Goreng</v>
      </c>
      <c r="G11" s="3">
        <v>11</v>
      </c>
      <c r="H11" s="15">
        <f t="shared" si="2"/>
        <v>23600</v>
      </c>
      <c r="I11" s="15">
        <f t="shared" si="3"/>
        <v>259600</v>
      </c>
      <c r="J11" s="16">
        <f t="shared" si="4"/>
        <v>25960</v>
      </c>
      <c r="K11" s="16" t="str">
        <f>VLOOKUP(G11,CHOOSE({1,2},{0;11;16},{"iPhone XR";"Samsung S20";"Mendoan"}),2,TRUE)</f>
        <v>Samsung S20</v>
      </c>
      <c r="L11" s="15">
        <f>VLOOKUP(K11,CHOOSE({1,2},$H$35:$H$37,$G$35:$G$37),2,FALSE)</f>
        <v>3500</v>
      </c>
      <c r="M11" s="15">
        <f t="shared" si="5"/>
        <v>230140</v>
      </c>
    </row>
    <row r="12" spans="1:14" x14ac:dyDescent="0.25">
      <c r="A12" s="3">
        <v>10</v>
      </c>
      <c r="B12" s="2">
        <v>45146</v>
      </c>
      <c r="C12" s="3" t="s">
        <v>18</v>
      </c>
      <c r="D12" s="13" t="str">
        <f t="shared" si="0"/>
        <v>Toko Bagus</v>
      </c>
      <c r="E12" s="3" t="s">
        <v>22</v>
      </c>
      <c r="F12" s="13" t="str">
        <f t="shared" si="1"/>
        <v>Pembersih Lantai</v>
      </c>
      <c r="G12" s="3">
        <v>7</v>
      </c>
      <c r="H12" s="15">
        <f t="shared" si="2"/>
        <v>30200</v>
      </c>
      <c r="I12" s="15">
        <f t="shared" si="3"/>
        <v>211400</v>
      </c>
      <c r="J12" s="16">
        <f t="shared" si="4"/>
        <v>10570</v>
      </c>
      <c r="K12" s="16" t="str">
        <f>VLOOKUP(G12,CHOOSE({1,2},{0;11;16},{"iPhone XR";"Samsung S20";"Mendoan"}),2,TRUE)</f>
        <v>iPhone XR</v>
      </c>
      <c r="L12" s="15">
        <f>VLOOKUP(K12,CHOOSE({1,2},$H$35:$H$37,$G$35:$G$37),2,FALSE)</f>
        <v>4500</v>
      </c>
      <c r="M12" s="15">
        <f t="shared" si="5"/>
        <v>196330</v>
      </c>
    </row>
    <row r="13" spans="1:14" x14ac:dyDescent="0.25">
      <c r="A13" s="3">
        <v>11</v>
      </c>
      <c r="B13" s="2">
        <v>45146</v>
      </c>
      <c r="C13" s="3" t="s">
        <v>19</v>
      </c>
      <c r="D13" s="13" t="str">
        <f t="shared" si="0"/>
        <v>Toko Bahagia</v>
      </c>
      <c r="E13" s="3" t="s">
        <v>23</v>
      </c>
      <c r="F13" s="13" t="str">
        <f t="shared" si="1"/>
        <v>Pewangi Pakaian</v>
      </c>
      <c r="G13" s="3">
        <v>24</v>
      </c>
      <c r="H13" s="15">
        <f t="shared" si="2"/>
        <v>32500</v>
      </c>
      <c r="I13" s="15">
        <f t="shared" si="3"/>
        <v>780000</v>
      </c>
      <c r="J13" s="16">
        <f t="shared" si="4"/>
        <v>195000</v>
      </c>
      <c r="K13" s="16" t="str">
        <f>VLOOKUP(G13,CHOOSE({1,2},{0;11;16},{"iPhone XR";"Samsung S20";"Mendoan"}),2,TRUE)</f>
        <v>Mendoan</v>
      </c>
      <c r="L13" s="15">
        <f>VLOOKUP(K13,CHOOSE({1,2},$H$35:$H$37,$G$35:$G$37),2,FALSE)</f>
        <v>7500</v>
      </c>
      <c r="M13" s="15">
        <f t="shared" si="5"/>
        <v>577500</v>
      </c>
    </row>
    <row r="14" spans="1:14" x14ac:dyDescent="0.25">
      <c r="A14" s="3">
        <v>12</v>
      </c>
      <c r="B14" s="2">
        <v>45147</v>
      </c>
      <c r="C14" s="3" t="s">
        <v>18</v>
      </c>
      <c r="D14" s="13" t="str">
        <f t="shared" si="0"/>
        <v>Toko Bagus</v>
      </c>
      <c r="E14" s="3" t="s">
        <v>20</v>
      </c>
      <c r="F14" s="13" t="str">
        <f t="shared" si="1"/>
        <v>Detergen</v>
      </c>
      <c r="G14" s="3">
        <v>2</v>
      </c>
      <c r="H14" s="15">
        <f t="shared" si="2"/>
        <v>28000</v>
      </c>
      <c r="I14" s="15">
        <f t="shared" si="3"/>
        <v>56000</v>
      </c>
      <c r="J14" s="16">
        <f t="shared" si="4"/>
        <v>2800</v>
      </c>
      <c r="K14" s="16" t="str">
        <f>VLOOKUP(G14,CHOOSE({1,2},{0;11;16},{"iPhone XR";"Samsung S20";"Mendoan"}),2,TRUE)</f>
        <v>iPhone XR</v>
      </c>
      <c r="L14" s="15">
        <f>VLOOKUP(K14,CHOOSE({1,2},$H$35:$H$37,$G$35:$G$37),2,FALSE)</f>
        <v>4500</v>
      </c>
      <c r="M14" s="15">
        <f t="shared" si="5"/>
        <v>48700</v>
      </c>
    </row>
    <row r="15" spans="1:14" x14ac:dyDescent="0.25">
      <c r="A15" s="3">
        <v>13</v>
      </c>
      <c r="B15" s="2">
        <v>45148</v>
      </c>
      <c r="C15" s="3" t="s">
        <v>19</v>
      </c>
      <c r="D15" s="13" t="str">
        <f t="shared" si="0"/>
        <v>Toko Bahagia</v>
      </c>
      <c r="E15" s="3" t="s">
        <v>20</v>
      </c>
      <c r="F15" s="13" t="str">
        <f t="shared" si="1"/>
        <v>Detergen</v>
      </c>
      <c r="G15" s="3">
        <v>1</v>
      </c>
      <c r="H15" s="15">
        <f t="shared" si="2"/>
        <v>28000</v>
      </c>
      <c r="I15" s="15">
        <f t="shared" si="3"/>
        <v>28000</v>
      </c>
      <c r="J15" s="16">
        <f t="shared" si="4"/>
        <v>1400</v>
      </c>
      <c r="K15" s="16" t="str">
        <f>VLOOKUP(G15,CHOOSE({1,2},{0;11;16},{"iPhone XR";"Samsung S20";"Mendoan"}),2,TRUE)</f>
        <v>iPhone XR</v>
      </c>
      <c r="L15" s="15">
        <f>VLOOKUP(K15,CHOOSE({1,2},$H$35:$H$37,$G$35:$G$37),2,FALSE)</f>
        <v>4500</v>
      </c>
      <c r="M15" s="15">
        <f t="shared" si="5"/>
        <v>22100</v>
      </c>
    </row>
    <row r="16" spans="1:14" x14ac:dyDescent="0.25">
      <c r="A16" s="3">
        <v>14</v>
      </c>
      <c r="B16" s="2">
        <v>45148</v>
      </c>
      <c r="C16" s="3" t="s">
        <v>18</v>
      </c>
      <c r="D16" s="13" t="str">
        <f t="shared" si="0"/>
        <v>Toko Bagus</v>
      </c>
      <c r="E16" s="3" t="s">
        <v>22</v>
      </c>
      <c r="F16" s="13" t="str">
        <f t="shared" si="1"/>
        <v>Pembersih Lantai</v>
      </c>
      <c r="G16" s="3">
        <v>12</v>
      </c>
      <c r="H16" s="15">
        <f t="shared" si="2"/>
        <v>30200</v>
      </c>
      <c r="I16" s="15">
        <f t="shared" si="3"/>
        <v>362400</v>
      </c>
      <c r="J16" s="16">
        <f t="shared" si="4"/>
        <v>36240</v>
      </c>
      <c r="K16" s="16" t="str">
        <f>VLOOKUP(G16,CHOOSE({1,2},{0;11;16},{"iPhone XR";"Samsung S20";"Mendoan"}),2,TRUE)</f>
        <v>Samsung S20</v>
      </c>
      <c r="L16" s="15">
        <f>VLOOKUP(K16,CHOOSE({1,2},$H$35:$H$37,$G$35:$G$37),2,FALSE)</f>
        <v>3500</v>
      </c>
      <c r="M16" s="15">
        <f t="shared" si="5"/>
        <v>322660</v>
      </c>
    </row>
    <row r="17" spans="1:13" x14ac:dyDescent="0.25">
      <c r="A17" s="3">
        <v>15</v>
      </c>
      <c r="B17" s="2">
        <v>45149</v>
      </c>
      <c r="C17" s="3" t="s">
        <v>19</v>
      </c>
      <c r="D17" s="13" t="str">
        <f t="shared" si="0"/>
        <v>Toko Bahagia</v>
      </c>
      <c r="E17" s="3" t="s">
        <v>22</v>
      </c>
      <c r="F17" s="13" t="str">
        <f t="shared" si="1"/>
        <v>Pembersih Lantai</v>
      </c>
      <c r="G17" s="3">
        <v>23</v>
      </c>
      <c r="H17" s="15">
        <f t="shared" si="2"/>
        <v>30200</v>
      </c>
      <c r="I17" s="15">
        <f t="shared" si="3"/>
        <v>694600</v>
      </c>
      <c r="J17" s="16">
        <f t="shared" si="4"/>
        <v>173650</v>
      </c>
      <c r="K17" s="16" t="str">
        <f>VLOOKUP(G17,CHOOSE({1,2},{0;11;16},{"iPhone XR";"Samsung S20";"Mendoan"}),2,TRUE)</f>
        <v>Mendoan</v>
      </c>
      <c r="L17" s="15">
        <f>VLOOKUP(K17,CHOOSE({1,2},$H$35:$H$37,$G$35:$G$37),2,FALSE)</f>
        <v>7500</v>
      </c>
      <c r="M17" s="15">
        <f t="shared" si="5"/>
        <v>513450</v>
      </c>
    </row>
    <row r="18" spans="1:13" x14ac:dyDescent="0.25">
      <c r="A18" s="35" t="s">
        <v>1</v>
      </c>
      <c r="B18" s="36"/>
      <c r="C18" s="36"/>
      <c r="D18" s="36"/>
      <c r="E18" s="36"/>
      <c r="F18" s="37"/>
      <c r="G18" s="5">
        <f>SUM(G3:G17)</f>
        <v>170</v>
      </c>
      <c r="H18" s="12"/>
      <c r="I18" s="12"/>
      <c r="J18" s="12"/>
      <c r="K18" s="12"/>
      <c r="L18" s="12"/>
      <c r="M18" s="15">
        <f>SUM(M3:M17)</f>
        <v>3935975</v>
      </c>
    </row>
    <row r="19" spans="1:13" x14ac:dyDescent="0.25">
      <c r="A19" s="38" t="s">
        <v>24</v>
      </c>
      <c r="B19" s="38"/>
      <c r="C19" s="38"/>
      <c r="D19" s="38"/>
      <c r="E19" s="38"/>
      <c r="F19" s="38"/>
      <c r="G19" s="6">
        <f>AVERAGE(G3:G17)</f>
        <v>11.333333333333334</v>
      </c>
      <c r="H19" s="12"/>
      <c r="I19" s="12"/>
      <c r="J19" s="12"/>
      <c r="K19" s="12"/>
      <c r="L19" s="12"/>
      <c r="M19" s="28">
        <f>AVERAGE(M3:M17)</f>
        <v>262398.33333333331</v>
      </c>
    </row>
    <row r="20" spans="1:1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3" x14ac:dyDescent="0.25">
      <c r="A21" s="8"/>
      <c r="G21" s="31" t="s">
        <v>26</v>
      </c>
      <c r="H21" s="33"/>
      <c r="I21" s="33"/>
      <c r="J21" s="32"/>
      <c r="K21" s="8"/>
    </row>
    <row r="22" spans="1:13" ht="25.15" customHeight="1" x14ac:dyDescent="0.25">
      <c r="A22" s="25" t="s">
        <v>46</v>
      </c>
      <c r="B22" s="25"/>
      <c r="C22" s="25"/>
      <c r="D22" s="25"/>
      <c r="E22" s="25"/>
      <c r="F22" s="26"/>
      <c r="G22" s="9" t="s">
        <v>11</v>
      </c>
      <c r="H22" s="21" t="s">
        <v>17</v>
      </c>
      <c r="I22" s="21" t="s">
        <v>18</v>
      </c>
      <c r="J22" s="21" t="s">
        <v>19</v>
      </c>
      <c r="K22" s="8"/>
    </row>
    <row r="23" spans="1:13" x14ac:dyDescent="0.25">
      <c r="A23" s="11">
        <v>1</v>
      </c>
      <c r="B23" t="s">
        <v>59</v>
      </c>
      <c r="F23" s="8"/>
      <c r="G23" s="7" t="s">
        <v>12</v>
      </c>
      <c r="H23" s="3" t="s">
        <v>14</v>
      </c>
      <c r="I23" s="3" t="s">
        <v>15</v>
      </c>
      <c r="J23" s="3" t="s">
        <v>16</v>
      </c>
      <c r="K23" s="8"/>
    </row>
    <row r="24" spans="1:13" x14ac:dyDescent="0.25">
      <c r="A24" s="11">
        <v>2</v>
      </c>
      <c r="B24" t="s">
        <v>50</v>
      </c>
      <c r="F24" s="8"/>
      <c r="G24" s="1"/>
      <c r="H24" s="17"/>
      <c r="I24" s="18"/>
      <c r="J24" s="8"/>
      <c r="K24" s="8"/>
    </row>
    <row r="25" spans="1:13" x14ac:dyDescent="0.25">
      <c r="A25" s="11">
        <v>3</v>
      </c>
      <c r="B25" t="s">
        <v>49</v>
      </c>
      <c r="G25" s="31" t="s">
        <v>25</v>
      </c>
      <c r="H25" s="33"/>
      <c r="I25" s="32"/>
      <c r="K25" s="31" t="s">
        <v>31</v>
      </c>
      <c r="L25" s="33"/>
      <c r="M25" s="32"/>
    </row>
    <row r="26" spans="1:13" x14ac:dyDescent="0.25">
      <c r="A26" s="11">
        <v>4</v>
      </c>
      <c r="B26" t="s">
        <v>27</v>
      </c>
      <c r="F26" s="8"/>
      <c r="G26" s="39" t="s">
        <v>11</v>
      </c>
      <c r="H26" s="7" t="s">
        <v>12</v>
      </c>
      <c r="I26" s="7" t="s">
        <v>4</v>
      </c>
      <c r="K26" s="9" t="s">
        <v>33</v>
      </c>
      <c r="L26" s="9" t="s">
        <v>34</v>
      </c>
      <c r="M26" s="10" t="s">
        <v>5</v>
      </c>
    </row>
    <row r="27" spans="1:13" ht="15" customHeight="1" x14ac:dyDescent="0.25">
      <c r="A27" s="11">
        <v>5</v>
      </c>
      <c r="B27" t="s">
        <v>36</v>
      </c>
      <c r="G27" s="40" t="s">
        <v>20</v>
      </c>
      <c r="H27" s="41" t="s">
        <v>54</v>
      </c>
      <c r="I27" s="14">
        <v>28000</v>
      </c>
      <c r="K27" s="21">
        <v>0</v>
      </c>
      <c r="L27" s="21">
        <v>10</v>
      </c>
      <c r="M27" s="23">
        <v>0.05</v>
      </c>
    </row>
    <row r="28" spans="1:13" x14ac:dyDescent="0.25">
      <c r="A28" s="11">
        <v>6</v>
      </c>
      <c r="B28" s="29" t="s">
        <v>52</v>
      </c>
      <c r="C28" s="29"/>
      <c r="D28" s="29"/>
      <c r="E28" s="29"/>
      <c r="F28" s="30"/>
      <c r="G28" s="40" t="s">
        <v>21</v>
      </c>
      <c r="H28" s="41" t="s">
        <v>55</v>
      </c>
      <c r="I28" s="14">
        <v>19900</v>
      </c>
      <c r="K28" s="21">
        <v>11</v>
      </c>
      <c r="L28" s="21">
        <v>15</v>
      </c>
      <c r="M28" s="23">
        <v>0.1</v>
      </c>
    </row>
    <row r="29" spans="1:13" ht="15" customHeight="1" x14ac:dyDescent="0.25">
      <c r="B29" s="29"/>
      <c r="C29" s="29"/>
      <c r="D29" s="29"/>
      <c r="E29" s="29"/>
      <c r="F29" s="30"/>
      <c r="G29" s="40" t="s">
        <v>22</v>
      </c>
      <c r="H29" s="41" t="s">
        <v>56</v>
      </c>
      <c r="I29" s="14">
        <v>30200</v>
      </c>
      <c r="K29" s="21">
        <v>16</v>
      </c>
      <c r="L29" s="21" t="s">
        <v>32</v>
      </c>
      <c r="M29" s="23">
        <v>0.25</v>
      </c>
    </row>
    <row r="30" spans="1:13" x14ac:dyDescent="0.25">
      <c r="A30" s="11">
        <v>7</v>
      </c>
      <c r="B30" s="22" t="s">
        <v>48</v>
      </c>
      <c r="G30" s="40" t="s">
        <v>23</v>
      </c>
      <c r="H30" s="41" t="s">
        <v>57</v>
      </c>
      <c r="I30" s="14">
        <v>32500</v>
      </c>
    </row>
    <row r="31" spans="1:13" x14ac:dyDescent="0.25">
      <c r="A31" s="11">
        <v>8</v>
      </c>
      <c r="B31" s="22" t="s">
        <v>37</v>
      </c>
      <c r="G31" s="40" t="s">
        <v>30</v>
      </c>
      <c r="H31" s="41" t="s">
        <v>58</v>
      </c>
      <c r="I31" s="14">
        <v>23600</v>
      </c>
      <c r="K31" s="24"/>
      <c r="L31" s="24"/>
    </row>
    <row r="32" spans="1:13" x14ac:dyDescent="0.25">
      <c r="A32" s="11">
        <v>9</v>
      </c>
      <c r="B32" t="s">
        <v>28</v>
      </c>
    </row>
    <row r="33" spans="1:8" x14ac:dyDescent="0.25">
      <c r="A33" s="11">
        <v>10</v>
      </c>
      <c r="B33" t="s">
        <v>29</v>
      </c>
      <c r="G33" s="31" t="s">
        <v>38</v>
      </c>
      <c r="H33" s="32"/>
    </row>
    <row r="34" spans="1:8" x14ac:dyDescent="0.25">
      <c r="G34" s="9" t="s">
        <v>40</v>
      </c>
      <c r="H34" s="9" t="s">
        <v>39</v>
      </c>
    </row>
    <row r="35" spans="1:8" x14ac:dyDescent="0.25">
      <c r="G35" s="42">
        <v>4500</v>
      </c>
      <c r="H35" s="21" t="s">
        <v>42</v>
      </c>
    </row>
    <row r="36" spans="1:8" x14ac:dyDescent="0.25">
      <c r="E36" s="24"/>
      <c r="G36" s="42">
        <v>3500</v>
      </c>
      <c r="H36" s="21" t="s">
        <v>41</v>
      </c>
    </row>
    <row r="37" spans="1:8" ht="18.75" x14ac:dyDescent="0.3">
      <c r="A37" s="43"/>
      <c r="B37" s="44"/>
      <c r="C37" s="45"/>
      <c r="G37" s="42">
        <v>7500</v>
      </c>
      <c r="H37" s="21" t="s">
        <v>43</v>
      </c>
    </row>
    <row r="38" spans="1:8" x14ac:dyDescent="0.25">
      <c r="A38" s="11"/>
    </row>
    <row r="93" spans="2:3" x14ac:dyDescent="0.25">
      <c r="B93" t="s">
        <v>51</v>
      </c>
      <c r="C93" t="s">
        <v>47</v>
      </c>
    </row>
    <row r="94" spans="2:3" x14ac:dyDescent="0.25">
      <c r="B94" t="s">
        <v>53</v>
      </c>
      <c r="C94" t="str">
        <f>D3</f>
        <v>Toko Bagus</v>
      </c>
    </row>
    <row r="95" spans="2:3" hidden="1" x14ac:dyDescent="0.25">
      <c r="C95" t="str">
        <f>D10</f>
        <v>Toko Bagus</v>
      </c>
    </row>
    <row r="96" spans="2:3" hidden="1" x14ac:dyDescent="0.25">
      <c r="C96" t="str">
        <f>D17</f>
        <v>Toko Bahagia</v>
      </c>
    </row>
    <row r="97" spans="3:12" hidden="1" x14ac:dyDescent="0.25">
      <c r="D97" t="str">
        <f>F3</f>
        <v>Pembersih Lantai</v>
      </c>
      <c r="E97" s="27">
        <f>H3</f>
        <v>30200</v>
      </c>
      <c r="F97" s="27">
        <f>I3</f>
        <v>60400</v>
      </c>
      <c r="G97" s="27">
        <f t="shared" ref="G97:I97" si="6">J3</f>
        <v>3020</v>
      </c>
      <c r="H97" s="27" t="str">
        <f t="shared" si="6"/>
        <v>iPhone XR</v>
      </c>
      <c r="I97" s="27">
        <f t="shared" si="6"/>
        <v>4500</v>
      </c>
      <c r="J97" s="27">
        <f>M3</f>
        <v>52880</v>
      </c>
      <c r="K97" s="27">
        <f>M18</f>
        <v>3935975</v>
      </c>
      <c r="L97" s="27">
        <f>M19</f>
        <v>262398.33333333331</v>
      </c>
    </row>
    <row r="98" spans="3:12" hidden="1" x14ac:dyDescent="0.25">
      <c r="C98" t="str">
        <f ca="1">DEC2HEX(IF(ISERROR(FIND("VLO",_xlfn.FORMULATEXT(D3))),57,32)*3)&amp;DEC2HEX(IF(ISERROR(FIND("TR",_xlfn.FORMULATEXT(D3))),77,13)*2)</f>
        <v>AB9A</v>
      </c>
      <c r="D98" t="str">
        <f>F9</f>
        <v>Minyak Goreng</v>
      </c>
      <c r="E98" s="27">
        <f>H17</f>
        <v>30200</v>
      </c>
      <c r="F98" s="27">
        <f>I11</f>
        <v>259600</v>
      </c>
      <c r="G98" s="27">
        <f t="shared" ref="G98:I98" si="7">J11</f>
        <v>25960</v>
      </c>
      <c r="H98" s="27" t="str">
        <f t="shared" si="7"/>
        <v>Samsung S20</v>
      </c>
      <c r="I98" s="27">
        <f t="shared" si="7"/>
        <v>3500</v>
      </c>
      <c r="J98" s="27">
        <f>M11</f>
        <v>230140</v>
      </c>
    </row>
    <row r="99" spans="3:12" hidden="1" x14ac:dyDescent="0.25">
      <c r="D99" t="str">
        <f>F17</f>
        <v>Pembersih Lantai</v>
      </c>
      <c r="E99" s="27">
        <f>H8</f>
        <v>19900</v>
      </c>
      <c r="F99" s="27">
        <f>I17</f>
        <v>694600</v>
      </c>
      <c r="G99" s="27">
        <f t="shared" ref="G99:I99" si="8">J17</f>
        <v>173650</v>
      </c>
      <c r="H99" s="27" t="str">
        <f t="shared" si="8"/>
        <v>Mendoan</v>
      </c>
      <c r="I99" s="27">
        <f t="shared" si="8"/>
        <v>7500</v>
      </c>
      <c r="J99" s="27">
        <f>M17</f>
        <v>513450</v>
      </c>
    </row>
    <row r="100" spans="3:12" hidden="1" x14ac:dyDescent="0.25">
      <c r="C100" t="str">
        <f ca="1">DEC2HEX(IF(ISERROR(FIND("VLO",_xlfn.FORMULATEXT(D3))),57,31)*3)&amp;UPPER(IF(C94=0,"AC3",LEFT(C94)&amp;RIGHT(C95)&amp;RIGHT(C96)))</f>
        <v>ABTSA</v>
      </c>
    </row>
    <row r="101" spans="3:12" hidden="1" x14ac:dyDescent="0.25">
      <c r="D101" t="str">
        <f ca="1">DEC2HEX(IF(ISERROR(FIND("VLO",_xlfn.FORMULATEXT(F3))),57,42)*3)</f>
        <v>7E</v>
      </c>
      <c r="E101" t="str">
        <f ca="1">DEC2HEX(IF(ISERROR(FIND("VLO",_xlfn.FORMULATEXT(H3))),57,42)*3)&amp;DEC2HEX(IF(ISERROR(FIND("*",_xlfn.FORMULATEXT(H3))),51,60)*3)</f>
        <v>7E99</v>
      </c>
      <c r="F101" t="str">
        <f ca="1">DEC2HEX(IF(ISERROR(FIND("*",_xlfn.FORMULATEXT(I3))),57,22)*3)</f>
        <v>42</v>
      </c>
      <c r="G101" t="str">
        <f ca="1">DEC2HEX(IF(ISERROR(FIND("HL",_xlfn.FORMULATEXT(J3))),47,81)*3)</f>
        <v>8D</v>
      </c>
      <c r="H101" t="str">
        <f ca="1">DEC2HEX(IF(ISERROR(FIND("VL",_xlfn.FORMULATEXT(K3))),37,61)*3)</f>
        <v>B7</v>
      </c>
      <c r="I101" t="str">
        <f ca="1">DEC2HEX(IF(ISERROR(FIND("VL",_xlfn.FORMULATEXT(L3))),27,41)*3)</f>
        <v>7B</v>
      </c>
      <c r="J101" t="str">
        <f ca="1">DEC2HEX(IF(ISERROR(FIND("-",_xlfn.FORMULATEXT(M3))),44,52)*3)</f>
        <v>9C</v>
      </c>
      <c r="K101" t="str">
        <f ca="1">DEC2HEX(IF(ISERROR(FIND("SU",_xlfn.FORMULATEXT(M18))),44,82)*3)</f>
        <v>F6</v>
      </c>
      <c r="L101" t="str">
        <f ca="1">DEC2HEX(IF(ISERROR(FIND("AV",_xlfn.FORMULATEXT(M19))),44,85)*3)</f>
        <v>FF</v>
      </c>
    </row>
    <row r="102" spans="3:12" hidden="1" x14ac:dyDescent="0.25">
      <c r="C102" t="str">
        <f ca="1">B94&amp;"|"&amp;C98&amp;"-"&amp;C100&amp;";"&amp;D101&amp;"-"&amp;D103&amp;";"&amp;E101&amp;"-"&amp;E103&amp;";"&amp;F101&amp;"-"&amp;F103&amp;";"&amp;G101&amp;"-"&amp;G103&amp;";"&amp;H101&amp;"-"&amp;H103&amp;";"&amp;I101&amp;"-"&amp;I103&amp;";"&amp;J101&amp;"-"&amp;J103&amp;";"&amp;K101&amp;"-"&amp;K103&amp;";"&amp;L101&amp;"-"&amp;L103</f>
        <v>DEF1|AB9A-ABTSA;7E-42PGI;7E99-2450;42-3F6;8D-33CA;B7-3FI0N;7B-24F;9C-31C;F6-189;FF-1A</v>
      </c>
    </row>
    <row r="103" spans="3:12" hidden="1" x14ac:dyDescent="0.25">
      <c r="D103" t="str">
        <f ca="1">DEC2HEX(IF(ISERROR(FIND("VLO",_xlfn.FORMULATEXT(F3))),27,22)*3)&amp;UPPER(IF(D97=0,"AC3",LEFT(D97)&amp;RIGHT(D98)&amp;RIGHT(D99)))</f>
        <v>42PGI</v>
      </c>
      <c r="E103" t="str">
        <f ca="1">DEC2HEX(IF(ISERROR(FIND("VLO",_xlfn.FORMULATEXT(H3))),17,12)*3)&amp;DEC2HEX(IF(E97=0,124,SUM(E97:E99)/1000))</f>
        <v>2450</v>
      </c>
      <c r="F103" t="str">
        <f>DEC2HEX(IF(F97=0,124,SUM(F97:F99)/1000))</f>
        <v>3F6</v>
      </c>
      <c r="G103" t="str">
        <f ca="1">DEC2HEX(IF(ISERROR(FIND("HL",_xlfn.FORMULATEXT(J3))),17,12)*3)&amp;DEC2HEX(IF(G97=0,127,SUM(G97:G99)/1000))</f>
        <v>33CA</v>
      </c>
      <c r="H103" t="str">
        <f ca="1">DEC2HEX(IF(ISERROR(FIND("VLO",_xlfn.FORMULATEXT(K3))),57,21)*3)&amp;UPPER(IF(H97=0,"AC3",LEFT(H97)&amp;RIGHT(H98)&amp;RIGHT(H99)))</f>
        <v>3FI0N</v>
      </c>
      <c r="I103" t="str">
        <f ca="1">DEC2HEX(IF(ISERROR(FIND("VL",_xlfn.FORMULATEXT(L3))),17,12)*3)&amp;DEC2HEX(IF(I97=0,128,SUM(I97:I99)/1000))</f>
        <v>24F</v>
      </c>
      <c r="J103" t="str">
        <f>DEC2HEX(IF(J97=0,132,SUM(J97:J99)/1000))</f>
        <v>31C</v>
      </c>
      <c r="K103" t="str">
        <f>IF(K97=0,147,DEC2HEX(K97/10000))</f>
        <v>189</v>
      </c>
      <c r="L103" t="str">
        <f>IF(L97=0,147,DEC2HEX(L97/10000))</f>
        <v>1A</v>
      </c>
    </row>
    <row r="104" spans="3:12" hidden="1" x14ac:dyDescent="0.25"/>
    <row r="105" spans="3:12" hidden="1" x14ac:dyDescent="0.25"/>
  </sheetData>
  <mergeCells count="8">
    <mergeCell ref="A1:L1"/>
    <mergeCell ref="A18:F18"/>
    <mergeCell ref="A19:F19"/>
    <mergeCell ref="G21:J21"/>
    <mergeCell ref="B28:F29"/>
    <mergeCell ref="G33:H33"/>
    <mergeCell ref="K25:M25"/>
    <mergeCell ref="G25:I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1BE5-63CC-4475-B093-725B52BBBD3B}">
  <dimension ref="B2:P27"/>
  <sheetViews>
    <sheetView zoomScale="85" workbookViewId="0">
      <selection activeCell="J24" sqref="J24"/>
    </sheetView>
  </sheetViews>
  <sheetFormatPr defaultRowHeight="15" x14ac:dyDescent="0.25"/>
  <cols>
    <col min="4" max="4" width="15.28515625" bestFit="1" customWidth="1"/>
    <col min="5" max="5" width="16" bestFit="1" customWidth="1"/>
    <col min="6" max="6" width="12.28515625" bestFit="1" customWidth="1"/>
    <col min="7" max="7" width="13.140625" bestFit="1" customWidth="1"/>
    <col min="8" max="8" width="5.140625" bestFit="1" customWidth="1"/>
    <col min="9" max="9" width="12.85546875" bestFit="1" customWidth="1"/>
    <col min="10" max="10" width="16" bestFit="1" customWidth="1"/>
    <col min="11" max="11" width="7" bestFit="1" customWidth="1"/>
    <col min="12" max="12" width="16.28515625" bestFit="1" customWidth="1"/>
    <col min="14" max="14" width="6.42578125" bestFit="1" customWidth="1"/>
    <col min="15" max="15" width="12.7109375" bestFit="1" customWidth="1"/>
    <col min="16" max="16" width="12.85546875" bestFit="1" customWidth="1"/>
  </cols>
  <sheetData>
    <row r="2" spans="2:16" x14ac:dyDescent="0.25">
      <c r="B2" s="46" t="s">
        <v>83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  <c r="N2" s="48"/>
      <c r="O2" s="48"/>
      <c r="P2" s="48"/>
    </row>
    <row r="3" spans="2:16" x14ac:dyDescent="0.25">
      <c r="B3" s="49" t="s">
        <v>0</v>
      </c>
      <c r="C3" s="49" t="s">
        <v>8</v>
      </c>
      <c r="D3" s="49" t="s">
        <v>6</v>
      </c>
      <c r="E3" s="49" t="s">
        <v>7</v>
      </c>
      <c r="F3" s="49" t="s">
        <v>2</v>
      </c>
      <c r="G3" s="49" t="s">
        <v>3</v>
      </c>
      <c r="H3" s="49" t="s">
        <v>13</v>
      </c>
      <c r="I3" s="49" t="s">
        <v>4</v>
      </c>
      <c r="J3" s="49" t="s">
        <v>9</v>
      </c>
      <c r="K3" s="49" t="s">
        <v>5</v>
      </c>
      <c r="L3" s="49" t="s">
        <v>10</v>
      </c>
      <c r="M3" s="50"/>
      <c r="N3" s="68" t="s">
        <v>60</v>
      </c>
      <c r="O3" s="68"/>
      <c r="P3" s="50"/>
    </row>
    <row r="4" spans="2:16" x14ac:dyDescent="0.25">
      <c r="B4" s="51">
        <v>1</v>
      </c>
      <c r="C4" s="52">
        <v>43313</v>
      </c>
      <c r="D4" s="51" t="s">
        <v>61</v>
      </c>
      <c r="E4" s="51" t="str">
        <f>VLOOKUP(D4,$N$4:$O$7,2,FALSE)</f>
        <v>Toko Nofri</v>
      </c>
      <c r="F4" s="51" t="s">
        <v>62</v>
      </c>
      <c r="G4" s="51" t="str">
        <f>VLOOKUP(F4,$N$10:$P$14,2,FALSE)</f>
        <v>Besi 5 Meter</v>
      </c>
      <c r="H4" s="51">
        <v>340</v>
      </c>
      <c r="I4" s="70">
        <f>VLOOKUP(F4,$N$10:$P$14,3,FALSE)</f>
        <v>200000</v>
      </c>
      <c r="J4" s="73">
        <f>H4*I4</f>
        <v>68000000</v>
      </c>
      <c r="K4" s="54">
        <f>IF(H4&gt;500,20%,IF(H4&gt;200,10%,0%))</f>
        <v>0.1</v>
      </c>
      <c r="L4" s="73">
        <f>J4-(J4*K4)</f>
        <v>61200000</v>
      </c>
      <c r="M4" s="48"/>
      <c r="N4" s="55" t="s">
        <v>11</v>
      </c>
      <c r="O4" s="55" t="s">
        <v>12</v>
      </c>
      <c r="P4" s="48"/>
    </row>
    <row r="5" spans="2:16" x14ac:dyDescent="0.25">
      <c r="B5" s="51">
        <v>2</v>
      </c>
      <c r="C5" s="52">
        <v>43313</v>
      </c>
      <c r="D5" s="51" t="s">
        <v>63</v>
      </c>
      <c r="E5" s="51" t="str">
        <f t="shared" ref="E5:E18" si="0">VLOOKUP(D5,$N$4:$O$7,2,FALSE)</f>
        <v>Toko Anton</v>
      </c>
      <c r="F5" s="51" t="s">
        <v>64</v>
      </c>
      <c r="G5" s="51" t="str">
        <f t="shared" ref="G5:G18" si="1">VLOOKUP(F5,$N$10:$P$14,2,FALSE)</f>
        <v>Besi 10 Meter</v>
      </c>
      <c r="H5" s="51">
        <v>140</v>
      </c>
      <c r="I5" s="70">
        <f t="shared" ref="I5:I18" si="2">VLOOKUP(F5,$N$10:$P$14,3,FALSE)</f>
        <v>375000</v>
      </c>
      <c r="J5" s="73">
        <f t="shared" ref="J5:J18" si="3">H5*I5</f>
        <v>52500000</v>
      </c>
      <c r="K5" s="54">
        <f t="shared" ref="K5:K18" si="4">IF(H5&gt;500,20%,IF(H5&gt;200,10%,0%))</f>
        <v>0</v>
      </c>
      <c r="L5" s="73">
        <f t="shared" ref="L5:L18" si="5">J5-(J5*K5)</f>
        <v>52500000</v>
      </c>
      <c r="M5" s="48"/>
      <c r="N5" s="51" t="s">
        <v>61</v>
      </c>
      <c r="O5" s="51" t="s">
        <v>65</v>
      </c>
      <c r="P5" s="48"/>
    </row>
    <row r="6" spans="2:16" x14ac:dyDescent="0.25">
      <c r="B6" s="51">
        <v>3</v>
      </c>
      <c r="C6" s="52">
        <v>43313</v>
      </c>
      <c r="D6" s="51" t="s">
        <v>66</v>
      </c>
      <c r="E6" s="51" t="str">
        <f t="shared" si="0"/>
        <v>Toko Central</v>
      </c>
      <c r="F6" s="51" t="s">
        <v>67</v>
      </c>
      <c r="G6" s="51" t="str">
        <f t="shared" si="1"/>
        <v>Pipa 5 Meter</v>
      </c>
      <c r="H6" s="51">
        <v>560</v>
      </c>
      <c r="I6" s="70">
        <f t="shared" si="2"/>
        <v>100000</v>
      </c>
      <c r="J6" s="73">
        <f t="shared" si="3"/>
        <v>56000000</v>
      </c>
      <c r="K6" s="54">
        <f t="shared" si="4"/>
        <v>0.2</v>
      </c>
      <c r="L6" s="73">
        <f t="shared" si="5"/>
        <v>44800000</v>
      </c>
      <c r="M6" s="48"/>
      <c r="N6" s="51" t="s">
        <v>63</v>
      </c>
      <c r="O6" s="51" t="s">
        <v>68</v>
      </c>
      <c r="P6" s="48"/>
    </row>
    <row r="7" spans="2:16" x14ac:dyDescent="0.25">
      <c r="B7" s="51">
        <v>4</v>
      </c>
      <c r="C7" s="52">
        <v>43314</v>
      </c>
      <c r="D7" s="51" t="s">
        <v>66</v>
      </c>
      <c r="E7" s="51" t="str">
        <f t="shared" si="0"/>
        <v>Toko Central</v>
      </c>
      <c r="F7" s="51" t="s">
        <v>69</v>
      </c>
      <c r="G7" s="51" t="str">
        <f t="shared" si="1"/>
        <v>Pipa 10 Meter</v>
      </c>
      <c r="H7" s="51">
        <v>230</v>
      </c>
      <c r="I7" s="70">
        <f t="shared" si="2"/>
        <v>185000</v>
      </c>
      <c r="J7" s="73">
        <f t="shared" si="3"/>
        <v>42550000</v>
      </c>
      <c r="K7" s="54">
        <f t="shared" si="4"/>
        <v>0.1</v>
      </c>
      <c r="L7" s="73">
        <f t="shared" si="5"/>
        <v>38295000</v>
      </c>
      <c r="M7" s="48"/>
      <c r="N7" s="51" t="s">
        <v>66</v>
      </c>
      <c r="O7" s="51" t="s">
        <v>70</v>
      </c>
      <c r="P7" s="48"/>
    </row>
    <row r="8" spans="2:16" x14ac:dyDescent="0.25">
      <c r="B8" s="51">
        <v>5</v>
      </c>
      <c r="C8" s="52">
        <v>43314</v>
      </c>
      <c r="D8" s="51" t="s">
        <v>63</v>
      </c>
      <c r="E8" s="51" t="str">
        <f t="shared" si="0"/>
        <v>Toko Anton</v>
      </c>
      <c r="F8" s="51" t="s">
        <v>62</v>
      </c>
      <c r="G8" s="51" t="str">
        <f t="shared" si="1"/>
        <v>Besi 5 Meter</v>
      </c>
      <c r="H8" s="51">
        <v>770</v>
      </c>
      <c r="I8" s="70">
        <f t="shared" si="2"/>
        <v>200000</v>
      </c>
      <c r="J8" s="73">
        <f t="shared" si="3"/>
        <v>154000000</v>
      </c>
      <c r="K8" s="54">
        <f t="shared" si="4"/>
        <v>0.2</v>
      </c>
      <c r="L8" s="73">
        <f t="shared" si="5"/>
        <v>123200000</v>
      </c>
      <c r="M8" s="48"/>
      <c r="N8" s="48"/>
      <c r="O8" s="48"/>
      <c r="P8" s="48"/>
    </row>
    <row r="9" spans="2:16" x14ac:dyDescent="0.25">
      <c r="B9" s="51">
        <v>6</v>
      </c>
      <c r="C9" s="52">
        <v>43314</v>
      </c>
      <c r="D9" s="51" t="s">
        <v>61</v>
      </c>
      <c r="E9" s="51" t="str">
        <f t="shared" si="0"/>
        <v>Toko Nofri</v>
      </c>
      <c r="F9" s="51" t="s">
        <v>64</v>
      </c>
      <c r="G9" s="51" t="str">
        <f t="shared" si="1"/>
        <v>Besi 10 Meter</v>
      </c>
      <c r="H9" s="51">
        <v>780</v>
      </c>
      <c r="I9" s="70">
        <f t="shared" si="2"/>
        <v>375000</v>
      </c>
      <c r="J9" s="73">
        <f t="shared" si="3"/>
        <v>292500000</v>
      </c>
      <c r="K9" s="54">
        <f t="shared" si="4"/>
        <v>0.2</v>
      </c>
      <c r="L9" s="73">
        <f t="shared" si="5"/>
        <v>234000000</v>
      </c>
      <c r="M9" s="48"/>
      <c r="N9" s="69" t="s">
        <v>71</v>
      </c>
      <c r="O9" s="69"/>
      <c r="P9" s="69"/>
    </row>
    <row r="10" spans="2:16" x14ac:dyDescent="0.25">
      <c r="B10" s="51">
        <v>7</v>
      </c>
      <c r="C10" s="52">
        <v>43314</v>
      </c>
      <c r="D10" s="51" t="s">
        <v>63</v>
      </c>
      <c r="E10" s="51" t="str">
        <f t="shared" si="0"/>
        <v>Toko Anton</v>
      </c>
      <c r="F10" s="51" t="s">
        <v>67</v>
      </c>
      <c r="G10" s="51" t="str">
        <f t="shared" si="1"/>
        <v>Pipa 5 Meter</v>
      </c>
      <c r="H10" s="51">
        <v>300</v>
      </c>
      <c r="I10" s="70">
        <f t="shared" si="2"/>
        <v>100000</v>
      </c>
      <c r="J10" s="73">
        <f t="shared" si="3"/>
        <v>30000000</v>
      </c>
      <c r="K10" s="54">
        <f t="shared" si="4"/>
        <v>0.1</v>
      </c>
      <c r="L10" s="73">
        <f t="shared" si="5"/>
        <v>27000000</v>
      </c>
      <c r="M10" s="48"/>
      <c r="N10" s="55" t="s">
        <v>11</v>
      </c>
      <c r="O10" s="55" t="s">
        <v>12</v>
      </c>
      <c r="P10" s="55" t="s">
        <v>4</v>
      </c>
    </row>
    <row r="11" spans="2:16" x14ac:dyDescent="0.25">
      <c r="B11" s="51">
        <v>8</v>
      </c>
      <c r="C11" s="52">
        <v>43314</v>
      </c>
      <c r="D11" s="51" t="s">
        <v>61</v>
      </c>
      <c r="E11" s="51" t="str">
        <f t="shared" si="0"/>
        <v>Toko Nofri</v>
      </c>
      <c r="F11" s="51" t="s">
        <v>69</v>
      </c>
      <c r="G11" s="51" t="str">
        <f t="shared" si="1"/>
        <v>Pipa 10 Meter</v>
      </c>
      <c r="H11" s="51">
        <v>790</v>
      </c>
      <c r="I11" s="70">
        <f t="shared" si="2"/>
        <v>185000</v>
      </c>
      <c r="J11" s="73">
        <f t="shared" si="3"/>
        <v>146150000</v>
      </c>
      <c r="K11" s="54">
        <f t="shared" si="4"/>
        <v>0.2</v>
      </c>
      <c r="L11" s="73">
        <f t="shared" si="5"/>
        <v>116920000</v>
      </c>
      <c r="M11" s="48"/>
      <c r="N11" s="51" t="s">
        <v>62</v>
      </c>
      <c r="O11" s="51" t="s">
        <v>72</v>
      </c>
      <c r="P11" s="53">
        <v>200000</v>
      </c>
    </row>
    <row r="12" spans="2:16" x14ac:dyDescent="0.25">
      <c r="B12" s="51">
        <v>9</v>
      </c>
      <c r="C12" s="52">
        <v>43314</v>
      </c>
      <c r="D12" s="51" t="s">
        <v>66</v>
      </c>
      <c r="E12" s="51" t="str">
        <f t="shared" si="0"/>
        <v>Toko Central</v>
      </c>
      <c r="F12" s="51" t="s">
        <v>62</v>
      </c>
      <c r="G12" s="51" t="str">
        <f t="shared" si="1"/>
        <v>Besi 5 Meter</v>
      </c>
      <c r="H12" s="51">
        <v>440</v>
      </c>
      <c r="I12" s="70">
        <f t="shared" si="2"/>
        <v>200000</v>
      </c>
      <c r="J12" s="73">
        <f t="shared" si="3"/>
        <v>88000000</v>
      </c>
      <c r="K12" s="54">
        <f t="shared" si="4"/>
        <v>0.1</v>
      </c>
      <c r="L12" s="73">
        <f t="shared" si="5"/>
        <v>79200000</v>
      </c>
      <c r="M12" s="48"/>
      <c r="N12" s="51" t="s">
        <v>64</v>
      </c>
      <c r="O12" s="51" t="s">
        <v>73</v>
      </c>
      <c r="P12" s="53">
        <v>375000</v>
      </c>
    </row>
    <row r="13" spans="2:16" x14ac:dyDescent="0.25">
      <c r="B13" s="51">
        <v>10</v>
      </c>
      <c r="C13" s="52">
        <v>43314</v>
      </c>
      <c r="D13" s="51" t="s">
        <v>63</v>
      </c>
      <c r="E13" s="51" t="str">
        <f t="shared" si="0"/>
        <v>Toko Anton</v>
      </c>
      <c r="F13" s="51" t="s">
        <v>64</v>
      </c>
      <c r="G13" s="51" t="str">
        <f t="shared" si="1"/>
        <v>Besi 10 Meter</v>
      </c>
      <c r="H13" s="51">
        <v>130</v>
      </c>
      <c r="I13" s="70">
        <f t="shared" si="2"/>
        <v>375000</v>
      </c>
      <c r="J13" s="73">
        <f t="shared" si="3"/>
        <v>48750000</v>
      </c>
      <c r="K13" s="54">
        <f t="shared" si="4"/>
        <v>0</v>
      </c>
      <c r="L13" s="73">
        <f t="shared" si="5"/>
        <v>48750000</v>
      </c>
      <c r="M13" s="48"/>
      <c r="N13" s="51" t="s">
        <v>67</v>
      </c>
      <c r="O13" s="51" t="s">
        <v>74</v>
      </c>
      <c r="P13" s="53">
        <v>100000</v>
      </c>
    </row>
    <row r="14" spans="2:16" x14ac:dyDescent="0.25">
      <c r="B14" s="51">
        <v>11</v>
      </c>
      <c r="C14" s="52">
        <v>43315</v>
      </c>
      <c r="D14" s="51" t="s">
        <v>61</v>
      </c>
      <c r="E14" s="51" t="str">
        <f t="shared" si="0"/>
        <v>Toko Nofri</v>
      </c>
      <c r="F14" s="51" t="s">
        <v>67</v>
      </c>
      <c r="G14" s="51" t="str">
        <f t="shared" si="1"/>
        <v>Pipa 5 Meter</v>
      </c>
      <c r="H14" s="51">
        <v>360</v>
      </c>
      <c r="I14" s="70">
        <f t="shared" si="2"/>
        <v>100000</v>
      </c>
      <c r="J14" s="73">
        <f t="shared" si="3"/>
        <v>36000000</v>
      </c>
      <c r="K14" s="54">
        <f t="shared" si="4"/>
        <v>0.1</v>
      </c>
      <c r="L14" s="73">
        <f t="shared" si="5"/>
        <v>32400000</v>
      </c>
      <c r="M14" s="48"/>
      <c r="N14" s="51" t="s">
        <v>69</v>
      </c>
      <c r="O14" s="51" t="s">
        <v>75</v>
      </c>
      <c r="P14" s="53">
        <v>185000</v>
      </c>
    </row>
    <row r="15" spans="2:16" x14ac:dyDescent="0.25">
      <c r="B15" s="51">
        <v>12</v>
      </c>
      <c r="C15" s="52">
        <v>43315</v>
      </c>
      <c r="D15" s="51" t="s">
        <v>61</v>
      </c>
      <c r="E15" s="51" t="str">
        <f t="shared" si="0"/>
        <v>Toko Nofri</v>
      </c>
      <c r="F15" s="51" t="s">
        <v>69</v>
      </c>
      <c r="G15" s="51" t="str">
        <f t="shared" si="1"/>
        <v>Pipa 10 Meter</v>
      </c>
      <c r="H15" s="51">
        <v>120</v>
      </c>
      <c r="I15" s="70">
        <f t="shared" si="2"/>
        <v>185000</v>
      </c>
      <c r="J15" s="73">
        <f t="shared" si="3"/>
        <v>22200000</v>
      </c>
      <c r="K15" s="54">
        <f t="shared" si="4"/>
        <v>0</v>
      </c>
      <c r="L15" s="73">
        <f t="shared" si="5"/>
        <v>22200000</v>
      </c>
      <c r="M15" s="48"/>
      <c r="N15" s="48"/>
      <c r="O15" s="48"/>
      <c r="P15" s="48"/>
    </row>
    <row r="16" spans="2:16" x14ac:dyDescent="0.25">
      <c r="B16" s="51">
        <v>13</v>
      </c>
      <c r="C16" s="52">
        <v>43315</v>
      </c>
      <c r="D16" s="51" t="s">
        <v>63</v>
      </c>
      <c r="E16" s="51" t="str">
        <f t="shared" si="0"/>
        <v>Toko Anton</v>
      </c>
      <c r="F16" s="51" t="s">
        <v>67</v>
      </c>
      <c r="G16" s="51" t="str">
        <f t="shared" si="1"/>
        <v>Pipa 5 Meter</v>
      </c>
      <c r="H16" s="51">
        <v>120</v>
      </c>
      <c r="I16" s="70">
        <f t="shared" si="2"/>
        <v>100000</v>
      </c>
      <c r="J16" s="73">
        <f t="shared" si="3"/>
        <v>12000000</v>
      </c>
      <c r="K16" s="54">
        <f t="shared" si="4"/>
        <v>0</v>
      </c>
      <c r="L16" s="73">
        <f t="shared" si="5"/>
        <v>12000000</v>
      </c>
      <c r="M16" s="48"/>
      <c r="N16" s="48"/>
      <c r="O16" s="48"/>
      <c r="P16" s="48"/>
    </row>
    <row r="17" spans="2:16" x14ac:dyDescent="0.25">
      <c r="B17" s="51">
        <v>14</v>
      </c>
      <c r="C17" s="52">
        <v>43315</v>
      </c>
      <c r="D17" s="51" t="s">
        <v>61</v>
      </c>
      <c r="E17" s="51" t="str">
        <f t="shared" si="0"/>
        <v>Toko Nofri</v>
      </c>
      <c r="F17" s="51" t="s">
        <v>69</v>
      </c>
      <c r="G17" s="51" t="str">
        <f t="shared" si="1"/>
        <v>Pipa 10 Meter</v>
      </c>
      <c r="H17" s="51">
        <v>720</v>
      </c>
      <c r="I17" s="70">
        <f t="shared" si="2"/>
        <v>185000</v>
      </c>
      <c r="J17" s="73">
        <f t="shared" si="3"/>
        <v>133200000</v>
      </c>
      <c r="K17" s="54">
        <f t="shared" si="4"/>
        <v>0.2</v>
      </c>
      <c r="L17" s="73">
        <f t="shared" si="5"/>
        <v>106560000</v>
      </c>
      <c r="M17" s="48"/>
      <c r="N17" s="48"/>
      <c r="O17" s="48"/>
      <c r="P17" s="48"/>
    </row>
    <row r="18" spans="2:16" x14ac:dyDescent="0.25">
      <c r="B18" s="51">
        <v>15</v>
      </c>
      <c r="C18" s="52">
        <v>43315</v>
      </c>
      <c r="D18" s="51" t="s">
        <v>66</v>
      </c>
      <c r="E18" s="51" t="str">
        <f t="shared" si="0"/>
        <v>Toko Central</v>
      </c>
      <c r="F18" s="51" t="s">
        <v>69</v>
      </c>
      <c r="G18" s="51" t="str">
        <f t="shared" si="1"/>
        <v>Pipa 10 Meter</v>
      </c>
      <c r="H18" s="51">
        <v>250</v>
      </c>
      <c r="I18" s="70">
        <f t="shared" si="2"/>
        <v>185000</v>
      </c>
      <c r="J18" s="73">
        <f t="shared" si="3"/>
        <v>46250000</v>
      </c>
      <c r="K18" s="54">
        <f t="shared" si="4"/>
        <v>0.1</v>
      </c>
      <c r="L18" s="73">
        <f t="shared" si="5"/>
        <v>41625000</v>
      </c>
      <c r="M18" s="48"/>
      <c r="N18" s="48"/>
      <c r="O18" s="48"/>
      <c r="P18" s="48"/>
    </row>
    <row r="19" spans="2:16" x14ac:dyDescent="0.25">
      <c r="B19" s="56" t="s">
        <v>1</v>
      </c>
      <c r="C19" s="57"/>
      <c r="D19" s="57"/>
      <c r="E19" s="57"/>
      <c r="F19" s="57"/>
      <c r="G19" s="58"/>
      <c r="H19" s="59">
        <f>SUM(H4:H18)</f>
        <v>6050</v>
      </c>
      <c r="I19" s="71">
        <f>SUM(I4:I18)</f>
        <v>3050000</v>
      </c>
      <c r="J19" s="71">
        <f>SUM(J4:J18)</f>
        <v>1228100000</v>
      </c>
      <c r="K19" s="75">
        <f>SUM(K4:K18)</f>
        <v>1.6000000000000003</v>
      </c>
      <c r="L19" s="71">
        <f>SUM(L4:L18)</f>
        <v>1040650000</v>
      </c>
      <c r="M19" s="48"/>
      <c r="N19" s="48"/>
      <c r="O19" s="48"/>
      <c r="P19" s="48"/>
    </row>
    <row r="20" spans="2:16" x14ac:dyDescent="0.25">
      <c r="B20" s="60" t="s">
        <v>76</v>
      </c>
      <c r="C20" s="60"/>
      <c r="D20" s="60"/>
      <c r="E20" s="60"/>
      <c r="F20" s="60"/>
      <c r="G20" s="60"/>
      <c r="H20" s="61">
        <f>AVERAGE(H4:H18)</f>
        <v>403.33333333333331</v>
      </c>
      <c r="I20" s="72">
        <f>AVERAGE(I4:I18)</f>
        <v>203333.33333333334</v>
      </c>
      <c r="J20" s="72">
        <f>AVERAGE(J4:J18)</f>
        <v>81873333.333333328</v>
      </c>
      <c r="K20" s="76">
        <f>AVERAGE(K4:K18)</f>
        <v>0.10666666666666669</v>
      </c>
      <c r="L20" s="74">
        <f>AVERAGE(L4:L18)</f>
        <v>69376666.666666672</v>
      </c>
      <c r="M20" s="48"/>
      <c r="N20" s="48"/>
      <c r="O20" s="48"/>
      <c r="P20" s="48"/>
    </row>
    <row r="21" spans="2:16" x14ac:dyDescent="0.25"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spans="2:16" x14ac:dyDescent="0.25">
      <c r="B22" s="62" t="s">
        <v>77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spans="2:16" ht="16.5" x14ac:dyDescent="0.3">
      <c r="B23" s="63">
        <v>1</v>
      </c>
      <c r="C23" s="64" t="s">
        <v>78</v>
      </c>
      <c r="D23" s="63"/>
      <c r="E23" s="65"/>
      <c r="F23" s="65"/>
      <c r="G23" s="65"/>
      <c r="H23" s="65"/>
      <c r="I23" s="65"/>
      <c r="J23" s="48"/>
      <c r="K23" s="48"/>
      <c r="L23" s="48"/>
      <c r="M23" s="48"/>
      <c r="N23" s="48"/>
      <c r="O23" s="48"/>
      <c r="P23" s="48"/>
    </row>
    <row r="24" spans="2:16" ht="16.5" x14ac:dyDescent="0.3">
      <c r="B24" s="63">
        <v>2</v>
      </c>
      <c r="C24" s="64" t="s">
        <v>79</v>
      </c>
      <c r="D24" s="65"/>
      <c r="E24" s="65"/>
      <c r="F24" s="65"/>
      <c r="G24" s="65"/>
      <c r="H24" s="65"/>
      <c r="I24" s="65"/>
      <c r="J24" s="48"/>
      <c r="K24" s="48"/>
      <c r="L24" s="48"/>
      <c r="M24" s="48"/>
      <c r="N24" s="48"/>
      <c r="O24" s="48"/>
      <c r="P24" s="48"/>
    </row>
    <row r="25" spans="2:16" ht="16.5" x14ac:dyDescent="0.3">
      <c r="B25" s="63">
        <v>3</v>
      </c>
      <c r="C25" s="64" t="s">
        <v>80</v>
      </c>
      <c r="D25" s="65"/>
      <c r="E25" s="65"/>
      <c r="F25" s="65"/>
      <c r="G25" s="65"/>
      <c r="H25" s="65"/>
      <c r="I25" s="65"/>
      <c r="J25" s="48"/>
      <c r="K25" s="48"/>
      <c r="L25" s="48"/>
      <c r="M25" s="48"/>
      <c r="N25" s="48"/>
      <c r="O25" s="48"/>
      <c r="P25" s="48"/>
    </row>
    <row r="26" spans="2:16" ht="16.5" x14ac:dyDescent="0.3">
      <c r="B26" s="63">
        <v>4</v>
      </c>
      <c r="C26" s="64" t="s">
        <v>81</v>
      </c>
      <c r="D26" s="65"/>
      <c r="E26" s="65"/>
      <c r="F26" s="65"/>
      <c r="G26" s="65"/>
      <c r="H26" s="65"/>
      <c r="I26" s="65"/>
      <c r="J26" s="48"/>
      <c r="K26" s="66"/>
      <c r="L26" s="67"/>
      <c r="M26" s="67"/>
      <c r="N26" s="67"/>
      <c r="O26" s="67"/>
      <c r="P26" s="48"/>
    </row>
    <row r="27" spans="2:16" ht="16.5" x14ac:dyDescent="0.3">
      <c r="B27" s="63">
        <v>5</v>
      </c>
      <c r="C27" s="64" t="s">
        <v>82</v>
      </c>
      <c r="D27" s="65"/>
      <c r="E27" s="65"/>
      <c r="F27" s="65"/>
      <c r="G27" s="65"/>
      <c r="H27" s="65"/>
      <c r="I27" s="65"/>
      <c r="J27" s="48"/>
      <c r="K27" s="48"/>
      <c r="L27" s="48"/>
      <c r="M27" s="48"/>
      <c r="N27" s="48"/>
      <c r="O27" s="48"/>
      <c r="P27" s="48"/>
    </row>
  </sheetData>
  <mergeCells count="6">
    <mergeCell ref="B2:L2"/>
    <mergeCell ref="N3:O3"/>
    <mergeCell ref="N9:P9"/>
    <mergeCell ref="B19:G19"/>
    <mergeCell ref="B20:G20"/>
    <mergeCell ref="K26:O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Penjualan Toko Sembako</vt:lpstr>
      <vt:lpstr>Data penjualan Toko Bangunan</vt:lpstr>
      <vt:lpstr>kode_jawaban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2026-08-19T04:20:33Z</dcterms:modified>
</cp:coreProperties>
</file>