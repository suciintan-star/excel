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rack Job\Project\excel\"/>
    </mc:Choice>
  </mc:AlternateContent>
  <xr:revisionPtr revIDLastSave="0" documentId="13_ncr:1_{E9C7CB53-5F8D-4B34-934D-4F79DDF91FCA}" xr6:coauthVersionLast="47" xr6:coauthVersionMax="47" xr10:uidLastSave="{00000000-0000-0000-0000-000000000000}"/>
  <bookViews>
    <workbookView xWindow="10140" yWindow="0" windowWidth="10455" windowHeight="10905" firstSheet="1" activeTab="2" xr2:uid="{E2C23D47-C076-42A7-9D81-00D71DF6FF71}"/>
  </bookViews>
  <sheets>
    <sheet name="Payout per Hari Kerja" sheetId="4" r:id="rId1"/>
    <sheet name="Daftar Upah" sheetId="3" r:id="rId2"/>
    <sheet name="Daftar Gaji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4" l="1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  <c r="I5" i="2"/>
  <c r="I6" i="2"/>
  <c r="I7" i="2"/>
  <c r="I8" i="2"/>
  <c r="I9" i="2"/>
  <c r="I10" i="2"/>
  <c r="J10" i="2" s="1"/>
  <c r="I4" i="2"/>
  <c r="J8" i="2"/>
  <c r="F4" i="2"/>
  <c r="J9" i="2"/>
  <c r="J5" i="2"/>
  <c r="H12" i="2" s="1"/>
  <c r="J6" i="2"/>
  <c r="H14" i="2" s="1"/>
  <c r="J4" i="2"/>
  <c r="H5" i="2"/>
  <c r="H6" i="2"/>
  <c r="H7" i="2"/>
  <c r="H8" i="2"/>
  <c r="H9" i="2"/>
  <c r="H10" i="2"/>
  <c r="H4" i="2"/>
  <c r="F5" i="2"/>
  <c r="F6" i="2"/>
  <c r="F7" i="2"/>
  <c r="F8" i="2"/>
  <c r="F9" i="2"/>
  <c r="F10" i="2"/>
  <c r="H9" i="3"/>
  <c r="I9" i="3" s="1"/>
  <c r="H6" i="3"/>
  <c r="I6" i="3" s="1"/>
  <c r="G7" i="3"/>
  <c r="G8" i="3"/>
  <c r="G9" i="3"/>
  <c r="G10" i="3"/>
  <c r="G11" i="3"/>
  <c r="G12" i="3"/>
  <c r="G6" i="3"/>
  <c r="F7" i="3"/>
  <c r="H7" i="3" s="1"/>
  <c r="F8" i="3"/>
  <c r="H8" i="3" s="1"/>
  <c r="F9" i="3"/>
  <c r="F10" i="3"/>
  <c r="H10" i="3" s="1"/>
  <c r="F11" i="3"/>
  <c r="H11" i="3" s="1"/>
  <c r="F12" i="3"/>
  <c r="H12" i="3" s="1"/>
  <c r="F6" i="3"/>
  <c r="E16" i="2" l="1"/>
  <c r="H15" i="2"/>
  <c r="J7" i="2"/>
  <c r="H16" i="2" s="1"/>
  <c r="H13" i="2"/>
  <c r="I8" i="3"/>
  <c r="J8" i="3"/>
  <c r="I11" i="3"/>
  <c r="J11" i="3" s="1"/>
  <c r="I7" i="3"/>
  <c r="J7" i="3" s="1"/>
  <c r="I12" i="3"/>
  <c r="J12" i="3"/>
  <c r="I10" i="3"/>
  <c r="J10" i="3" s="1"/>
  <c r="J6" i="3"/>
  <c r="J9" i="3"/>
  <c r="E14" i="2" l="1"/>
  <c r="E12" i="2"/>
  <c r="E15" i="2"/>
  <c r="E13" i="2"/>
  <c r="I16" i="3"/>
  <c r="I15" i="3"/>
  <c r="I14" i="3"/>
  <c r="I13" i="3"/>
</calcChain>
</file>

<file path=xl/sharedStrings.xml><?xml version="1.0" encoding="utf-8"?>
<sst xmlns="http://schemas.openxmlformats.org/spreadsheetml/2006/main" count="117" uniqueCount="93">
  <si>
    <t>No</t>
  </si>
  <si>
    <t>Nama</t>
  </si>
  <si>
    <t>Daniel</t>
  </si>
  <si>
    <t>Anzy</t>
  </si>
  <si>
    <t>Siska</t>
  </si>
  <si>
    <t>Syafira</t>
  </si>
  <si>
    <t>Fitri</t>
  </si>
  <si>
    <t>Alka</t>
  </si>
  <si>
    <t>Kevin</t>
  </si>
  <si>
    <t>Status</t>
  </si>
  <si>
    <t>Posisi</t>
  </si>
  <si>
    <t>Gaji Pokok</t>
  </si>
  <si>
    <t>Jumlah Anak</t>
  </si>
  <si>
    <t>Tunjangan Anak</t>
  </si>
  <si>
    <t>Total Gaji</t>
  </si>
  <si>
    <t>Tabel Posisi</t>
  </si>
  <si>
    <t>Keuangan</t>
  </si>
  <si>
    <t>HRD</t>
  </si>
  <si>
    <t>Warehouse</t>
  </si>
  <si>
    <t>Marketing</t>
  </si>
  <si>
    <t>Single</t>
  </si>
  <si>
    <t>Menikah</t>
  </si>
  <si>
    <t>Total Gaji Seluruh Karyawan</t>
  </si>
  <si>
    <t>Gaji Tertinggi Karyawan</t>
  </si>
  <si>
    <t>Gaji Terendah Karyawan</t>
  </si>
  <si>
    <t>Tunjangan</t>
  </si>
  <si>
    <t>Tunjangan Posisi</t>
  </si>
  <si>
    <t>Rata - Rata Gaji Karyawan</t>
  </si>
  <si>
    <t>Admin</t>
  </si>
  <si>
    <t>Setiap anak yang dimilki karyawan mendapatkan tunjangan sebesar 100.000 per anak. Maksimal 3 anak</t>
  </si>
  <si>
    <t>Total Gaji Keuangan</t>
  </si>
  <si>
    <t>Total Gaji HRD</t>
  </si>
  <si>
    <t>Total Gaji Admin</t>
  </si>
  <si>
    <t>Total Gaji Warehouse</t>
  </si>
  <si>
    <t>Total Gaji Marketing</t>
  </si>
  <si>
    <t>Total Seluruh Tunjangan</t>
  </si>
  <si>
    <t>Daftar Upah Karyawan PT. Bahari Bu</t>
  </si>
  <si>
    <t>Bulan Januari 2021</t>
  </si>
  <si>
    <t>Jam Kerja</t>
  </si>
  <si>
    <t>Jam Lembur</t>
  </si>
  <si>
    <t>Upah Kerja</t>
  </si>
  <si>
    <t>Upah Lembur</t>
  </si>
  <si>
    <t>Total Upah (Kotor)</t>
  </si>
  <si>
    <t>Pajak 5%</t>
  </si>
  <si>
    <t>Total Upah Bersih</t>
  </si>
  <si>
    <t>Total Upah Seluruh Karyawan</t>
  </si>
  <si>
    <t>Rata - Rata Upah Seluruh Karyawan</t>
  </si>
  <si>
    <t>Upah Tertinggi Karyawan</t>
  </si>
  <si>
    <t>Upah Terendah Karyawan</t>
  </si>
  <si>
    <t>Catatan :</t>
  </si>
  <si>
    <t>Upah Kerja Perjam Rp. 10,000</t>
  </si>
  <si>
    <t>Upah Lembur Perjam Rp. 20,000</t>
  </si>
  <si>
    <t>Employee</t>
  </si>
  <si>
    <t>Start Date</t>
  </si>
  <si>
    <t>End Date</t>
  </si>
  <si>
    <t>Rate</t>
  </si>
  <si>
    <t>Days</t>
  </si>
  <si>
    <t>Payout</t>
  </si>
  <si>
    <t>Ayu Prameswari</t>
  </si>
  <si>
    <t>Bambang Sutrisno</t>
  </si>
  <si>
    <t>Clara Anggraini</t>
  </si>
  <si>
    <t>Dodi Firmansyah</t>
  </si>
  <si>
    <t>Erlin Maharani</t>
  </si>
  <si>
    <t>Fauzi Rahman</t>
  </si>
  <si>
    <t>Gilang Setiawan</t>
  </si>
  <si>
    <t>Hilda Kusuma</t>
  </si>
  <si>
    <t>Iwan Pratama</t>
  </si>
  <si>
    <t>Jihan Safitri</t>
  </si>
  <si>
    <t>Kevin Aditya</t>
  </si>
  <si>
    <t>Laras Puspita</t>
  </si>
  <si>
    <t>Made Wirawan</t>
  </si>
  <si>
    <t>Nadia Cahyani</t>
  </si>
  <si>
    <t>Oscar Fernando</t>
  </si>
  <si>
    <t>Putri Nandita</t>
  </si>
  <si>
    <t>Qori Lestari</t>
  </si>
  <si>
    <t>Rama Wijaya</t>
  </si>
  <si>
    <t>Sinta Dewi</t>
  </si>
  <si>
    <t>Taufik Syahputra</t>
  </si>
  <si>
    <t>Umar Zulfikar</t>
  </si>
  <si>
    <t>Vina Marlina</t>
  </si>
  <si>
    <t>Wahyu Kurniawan</t>
  </si>
  <si>
    <t>Xenia Ramadhani</t>
  </si>
  <si>
    <t>Yusuf Hamzah</t>
  </si>
  <si>
    <t>Zahra Putri</t>
  </si>
  <si>
    <t>Andri Gunawan</t>
  </si>
  <si>
    <t>Bella Oktaviani</t>
  </si>
  <si>
    <t>Candra Lesmana</t>
  </si>
  <si>
    <t>Desi Amelia</t>
  </si>
  <si>
    <t>Eko Prabowo</t>
  </si>
  <si>
    <t>Farhan Hidayat</t>
  </si>
  <si>
    <t>Gita Ardhani</t>
  </si>
  <si>
    <t>Hariyanto</t>
  </si>
  <si>
    <t>Indah Permata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</si>
</sst>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8" formatCode="_-[$Rp-3809]* #,##0.00_-;\-[$Rp-3809]* #,##0.00_-;_-[$Rp-3809]* &quot;-&quot;??_-;_-@_-"/>
    <numFmt numFmtId="170" formatCode="_-[$Rp-3809]* #,##0_-;\-[$Rp-3809]* #,##0_-;_-[$Rp-3809]* &quot;-&quot;??_-;_-@_-"/>
    <numFmt numFmtId="173" formatCode="&quot;Rp&quot;#,##0;[Red]\-&quot;Rp&quot;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name val="Yu Gothic UI Semibold"/>
      <family val="2"/>
    </font>
    <font>
      <sz val="11"/>
      <color theme="1"/>
      <name val="Calibri"/>
      <family val="2"/>
      <scheme val="minor"/>
    </font>
    <font>
      <sz val="11"/>
      <color theme="0"/>
      <name val="Yu Gothic UI Semibold"/>
      <family val="2"/>
    </font>
    <font>
      <sz val="10"/>
      <color theme="1"/>
      <name val="Yu Gothic UI Semibold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0"/>
      <color theme="1"/>
      <name val="Yu Gothic UI Semibold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4D5"/>
        <bgColor rgb="FFFBE4D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64" fontId="2" fillId="0" borderId="1" xfId="1" applyFont="1" applyBorder="1"/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6" fillId="0" borderId="0" xfId="0" applyFont="1"/>
    <xf numFmtId="0" fontId="3" fillId="0" borderId="4" xfId="1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4" xfId="2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/>
    <xf numFmtId="0" fontId="0" fillId="0" borderId="0" xfId="0" applyFont="1" applyBorder="1"/>
    <xf numFmtId="0" fontId="11" fillId="0" borderId="0" xfId="0" applyFont="1" applyBorder="1" applyAlignment="1"/>
    <xf numFmtId="170" fontId="12" fillId="4" borderId="1" xfId="0" applyNumberFormat="1" applyFont="1" applyFill="1" applyBorder="1" applyAlignment="1">
      <alignment horizontal="center"/>
    </xf>
    <xf numFmtId="0" fontId="0" fillId="0" borderId="0" xfId="0" applyFont="1"/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/>
    </xf>
    <xf numFmtId="0" fontId="1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70" fontId="4" fillId="0" borderId="1" xfId="4" applyNumberFormat="1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1" applyNumberFormat="1" applyFont="1" applyBorder="1" applyAlignment="1">
      <alignment horizontal="left"/>
    </xf>
    <xf numFmtId="0" fontId="3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2" xfId="1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8" fontId="3" fillId="0" borderId="1" xfId="3" applyNumberFormat="1" applyFont="1" applyBorder="1" applyAlignment="1">
      <alignment horizontal="left"/>
    </xf>
    <xf numFmtId="170" fontId="3" fillId="0" borderId="1" xfId="1" applyNumberFormat="1" applyFont="1" applyBorder="1" applyAlignment="1">
      <alignment horizontal="left"/>
    </xf>
    <xf numFmtId="170" fontId="3" fillId="0" borderId="1" xfId="4" applyNumberFormat="1" applyFont="1" applyBorder="1" applyAlignment="1">
      <alignment horizontal="left"/>
    </xf>
    <xf numFmtId="170" fontId="3" fillId="0" borderId="1" xfId="0" applyNumberFormat="1" applyFont="1" applyBorder="1" applyAlignment="1">
      <alignment horizontal="left"/>
    </xf>
    <xf numFmtId="170" fontId="3" fillId="0" borderId="4" xfId="0" applyNumberFormat="1" applyFont="1" applyBorder="1" applyAlignment="1">
      <alignment horizontal="left"/>
    </xf>
    <xf numFmtId="170" fontId="3" fillId="0" borderId="5" xfId="0" applyNumberFormat="1" applyFont="1" applyBorder="1" applyAlignment="1">
      <alignment horizontal="left"/>
    </xf>
    <xf numFmtId="0" fontId="15" fillId="5" borderId="7" xfId="0" applyFont="1" applyFill="1" applyBorder="1" applyAlignment="1">
      <alignment horizontal="center"/>
    </xf>
    <xf numFmtId="0" fontId="16" fillId="0" borderId="7" xfId="0" applyFont="1" applyBorder="1"/>
    <xf numFmtId="15" fontId="16" fillId="0" borderId="7" xfId="0" applyNumberFormat="1" applyFont="1" applyBorder="1"/>
    <xf numFmtId="173" fontId="16" fillId="0" borderId="7" xfId="0" applyNumberFormat="1" applyFont="1" applyBorder="1"/>
    <xf numFmtId="0" fontId="16" fillId="0" borderId="7" xfId="0" applyFont="1" applyBorder="1" applyAlignment="1">
      <alignment horizontal="center"/>
    </xf>
    <xf numFmtId="173" fontId="16" fillId="0" borderId="7" xfId="0" applyNumberFormat="1" applyFont="1" applyBorder="1" applyAlignment="1">
      <alignment horizontal="center"/>
    </xf>
  </cellXfs>
  <cellStyles count="5">
    <cellStyle name="Comma" xfId="3" builtinId="3"/>
    <cellStyle name="Comma [0]" xfId="1" builtinId="6"/>
    <cellStyle name="Currency" xfId="4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4AA1-2E1A-4791-8F6B-A6317E777799}">
  <dimension ref="A1:F36"/>
  <sheetViews>
    <sheetView zoomScale="73" workbookViewId="0">
      <selection activeCell="H24" sqref="H24"/>
    </sheetView>
  </sheetViews>
  <sheetFormatPr defaultRowHeight="15" x14ac:dyDescent="0.25"/>
  <cols>
    <col min="1" max="1" width="18.28515625" bestFit="1" customWidth="1"/>
    <col min="2" max="2" width="10.28515625" bestFit="1" customWidth="1"/>
    <col min="3" max="3" width="10.5703125" bestFit="1" customWidth="1"/>
    <col min="4" max="4" width="11.28515625" bestFit="1" customWidth="1"/>
    <col min="6" max="6" width="13" bestFit="1" customWidth="1"/>
  </cols>
  <sheetData>
    <row r="1" spans="1:6" x14ac:dyDescent="0.25">
      <c r="A1" s="53" t="s">
        <v>52</v>
      </c>
      <c r="B1" s="53" t="s">
        <v>53</v>
      </c>
      <c r="C1" s="53" t="s">
        <v>54</v>
      </c>
      <c r="D1" s="53" t="s">
        <v>55</v>
      </c>
      <c r="E1" s="53" t="s">
        <v>56</v>
      </c>
      <c r="F1" s="53" t="s">
        <v>57</v>
      </c>
    </row>
    <row r="2" spans="1:6" x14ac:dyDescent="0.25">
      <c r="A2" s="54" t="s">
        <v>58</v>
      </c>
      <c r="B2" s="55">
        <v>45662</v>
      </c>
      <c r="C2" s="55">
        <v>45698</v>
      </c>
      <c r="D2" s="56">
        <v>135000</v>
      </c>
      <c r="E2" s="57">
        <f>NETWORKDAYS(B2,C2)</f>
        <v>26</v>
      </c>
      <c r="F2" s="58">
        <f>D2*E2</f>
        <v>3510000</v>
      </c>
    </row>
    <row r="3" spans="1:6" x14ac:dyDescent="0.25">
      <c r="A3" s="54" t="s">
        <v>59</v>
      </c>
      <c r="B3" s="55">
        <v>45665</v>
      </c>
      <c r="C3" s="55">
        <v>45700</v>
      </c>
      <c r="D3" s="56">
        <v>160000</v>
      </c>
      <c r="E3" s="57">
        <f t="shared" ref="E3:E36" si="0">NETWORKDAYS(B3,C3)</f>
        <v>26</v>
      </c>
      <c r="F3" s="58">
        <f t="shared" ref="F3:F36" si="1">D3*E3</f>
        <v>4160000</v>
      </c>
    </row>
    <row r="4" spans="1:6" x14ac:dyDescent="0.25">
      <c r="A4" s="54" t="s">
        <v>60</v>
      </c>
      <c r="B4" s="55">
        <v>45667</v>
      </c>
      <c r="C4" s="55">
        <v>45703</v>
      </c>
      <c r="D4" s="56">
        <v>180000</v>
      </c>
      <c r="E4" s="57">
        <f t="shared" si="0"/>
        <v>26</v>
      </c>
      <c r="F4" s="58">
        <f t="shared" si="1"/>
        <v>4680000</v>
      </c>
    </row>
    <row r="5" spans="1:6" x14ac:dyDescent="0.25">
      <c r="A5" s="54" t="s">
        <v>61</v>
      </c>
      <c r="B5" s="55">
        <v>45669</v>
      </c>
      <c r="C5" s="55">
        <v>45706</v>
      </c>
      <c r="D5" s="56">
        <v>95000</v>
      </c>
      <c r="E5" s="57">
        <f t="shared" si="0"/>
        <v>27</v>
      </c>
      <c r="F5" s="58">
        <f t="shared" si="1"/>
        <v>2565000</v>
      </c>
    </row>
    <row r="6" spans="1:6" x14ac:dyDescent="0.25">
      <c r="A6" s="54" t="s">
        <v>62</v>
      </c>
      <c r="B6" s="55">
        <v>45664</v>
      </c>
      <c r="C6" s="55">
        <v>45702</v>
      </c>
      <c r="D6" s="56">
        <v>140000</v>
      </c>
      <c r="E6" s="57">
        <f t="shared" si="0"/>
        <v>29</v>
      </c>
      <c r="F6" s="58">
        <f t="shared" si="1"/>
        <v>4060000</v>
      </c>
    </row>
    <row r="7" spans="1:6" x14ac:dyDescent="0.25">
      <c r="A7" s="54" t="s">
        <v>63</v>
      </c>
      <c r="B7" s="55">
        <v>45666</v>
      </c>
      <c r="C7" s="55">
        <v>45708</v>
      </c>
      <c r="D7" s="56">
        <v>155000</v>
      </c>
      <c r="E7" s="57">
        <f t="shared" si="0"/>
        <v>31</v>
      </c>
      <c r="F7" s="58">
        <f t="shared" si="1"/>
        <v>4805000</v>
      </c>
    </row>
    <row r="8" spans="1:6" x14ac:dyDescent="0.25">
      <c r="A8" s="54" t="s">
        <v>64</v>
      </c>
      <c r="B8" s="55">
        <v>45668</v>
      </c>
      <c r="C8" s="55">
        <v>45710</v>
      </c>
      <c r="D8" s="56">
        <v>175000</v>
      </c>
      <c r="E8" s="57">
        <f t="shared" si="0"/>
        <v>30</v>
      </c>
      <c r="F8" s="58">
        <f t="shared" si="1"/>
        <v>5250000</v>
      </c>
    </row>
    <row r="9" spans="1:6" x14ac:dyDescent="0.25">
      <c r="A9" s="54" t="s">
        <v>65</v>
      </c>
      <c r="B9" s="55">
        <v>45670</v>
      </c>
      <c r="C9" s="55">
        <v>45713</v>
      </c>
      <c r="D9" s="56">
        <v>120000</v>
      </c>
      <c r="E9" s="57">
        <f t="shared" si="0"/>
        <v>32</v>
      </c>
      <c r="F9" s="58">
        <f t="shared" si="1"/>
        <v>3840000</v>
      </c>
    </row>
    <row r="10" spans="1:6" x14ac:dyDescent="0.25">
      <c r="A10" s="54" t="s">
        <v>66</v>
      </c>
      <c r="B10" s="55">
        <v>45672</v>
      </c>
      <c r="C10" s="55">
        <v>45714</v>
      </c>
      <c r="D10" s="56">
        <v>165000</v>
      </c>
      <c r="E10" s="57">
        <f t="shared" si="0"/>
        <v>31</v>
      </c>
      <c r="F10" s="58">
        <f t="shared" si="1"/>
        <v>5115000</v>
      </c>
    </row>
    <row r="11" spans="1:6" x14ac:dyDescent="0.25">
      <c r="A11" s="54" t="s">
        <v>67</v>
      </c>
      <c r="B11" s="55">
        <v>45674</v>
      </c>
      <c r="C11" s="55">
        <v>45716</v>
      </c>
      <c r="D11" s="56">
        <v>190000</v>
      </c>
      <c r="E11" s="57">
        <f t="shared" si="0"/>
        <v>31</v>
      </c>
      <c r="F11" s="58">
        <f t="shared" si="1"/>
        <v>5890000</v>
      </c>
    </row>
    <row r="12" spans="1:6" x14ac:dyDescent="0.25">
      <c r="A12" s="54" t="s">
        <v>68</v>
      </c>
      <c r="B12" s="55">
        <v>45663</v>
      </c>
      <c r="C12" s="55">
        <v>45699</v>
      </c>
      <c r="D12" s="56">
        <v>110000</v>
      </c>
      <c r="E12" s="57">
        <f t="shared" si="0"/>
        <v>27</v>
      </c>
      <c r="F12" s="58">
        <f t="shared" si="1"/>
        <v>2970000</v>
      </c>
    </row>
    <row r="13" spans="1:6" x14ac:dyDescent="0.25">
      <c r="A13" s="54" t="s">
        <v>69</v>
      </c>
      <c r="B13" s="55">
        <v>45665</v>
      </c>
      <c r="C13" s="55">
        <v>45701</v>
      </c>
      <c r="D13" s="56">
        <v>125000</v>
      </c>
      <c r="E13" s="57">
        <f t="shared" si="0"/>
        <v>27</v>
      </c>
      <c r="F13" s="58">
        <f t="shared" si="1"/>
        <v>3375000</v>
      </c>
    </row>
    <row r="14" spans="1:6" x14ac:dyDescent="0.25">
      <c r="A14" s="54" t="s">
        <v>70</v>
      </c>
      <c r="B14" s="55">
        <v>45667</v>
      </c>
      <c r="C14" s="55">
        <v>45705</v>
      </c>
      <c r="D14" s="56">
        <v>170000</v>
      </c>
      <c r="E14" s="57">
        <f t="shared" si="0"/>
        <v>27</v>
      </c>
      <c r="F14" s="58">
        <f t="shared" si="1"/>
        <v>4590000</v>
      </c>
    </row>
    <row r="15" spans="1:6" x14ac:dyDescent="0.25">
      <c r="A15" s="54" t="s">
        <v>71</v>
      </c>
      <c r="B15" s="55">
        <v>45669</v>
      </c>
      <c r="C15" s="55">
        <v>45706</v>
      </c>
      <c r="D15" s="56">
        <v>145000</v>
      </c>
      <c r="E15" s="57">
        <f t="shared" si="0"/>
        <v>27</v>
      </c>
      <c r="F15" s="58">
        <f t="shared" si="1"/>
        <v>3915000</v>
      </c>
    </row>
    <row r="16" spans="1:6" x14ac:dyDescent="0.25">
      <c r="A16" s="54" t="s">
        <v>72</v>
      </c>
      <c r="B16" s="55">
        <v>45671</v>
      </c>
      <c r="C16" s="55">
        <v>45709</v>
      </c>
      <c r="D16" s="56">
        <v>200000</v>
      </c>
      <c r="E16" s="57">
        <f t="shared" si="0"/>
        <v>29</v>
      </c>
      <c r="F16" s="58">
        <f t="shared" si="1"/>
        <v>5800000</v>
      </c>
    </row>
    <row r="17" spans="1:6" x14ac:dyDescent="0.25">
      <c r="A17" s="54" t="s">
        <v>73</v>
      </c>
      <c r="B17" s="55">
        <v>45673</v>
      </c>
      <c r="C17" s="55">
        <v>45711</v>
      </c>
      <c r="D17" s="56">
        <v>130000</v>
      </c>
      <c r="E17" s="57">
        <f t="shared" si="0"/>
        <v>27</v>
      </c>
      <c r="F17" s="58">
        <f t="shared" si="1"/>
        <v>3510000</v>
      </c>
    </row>
    <row r="18" spans="1:6" x14ac:dyDescent="0.25">
      <c r="A18" s="54" t="s">
        <v>74</v>
      </c>
      <c r="B18" s="55">
        <v>45675</v>
      </c>
      <c r="C18" s="55">
        <v>45713</v>
      </c>
      <c r="D18" s="56">
        <v>150000</v>
      </c>
      <c r="E18" s="57">
        <f t="shared" si="0"/>
        <v>27</v>
      </c>
      <c r="F18" s="58">
        <f t="shared" si="1"/>
        <v>4050000</v>
      </c>
    </row>
    <row r="19" spans="1:6" x14ac:dyDescent="0.25">
      <c r="A19" s="54" t="s">
        <v>75</v>
      </c>
      <c r="B19" s="55">
        <v>45677</v>
      </c>
      <c r="C19" s="55">
        <v>45716</v>
      </c>
      <c r="D19" s="56">
        <v>185000</v>
      </c>
      <c r="E19" s="57">
        <f t="shared" si="0"/>
        <v>30</v>
      </c>
      <c r="F19" s="58">
        <f t="shared" si="1"/>
        <v>5550000</v>
      </c>
    </row>
    <row r="20" spans="1:6" x14ac:dyDescent="0.25">
      <c r="A20" s="54" t="s">
        <v>76</v>
      </c>
      <c r="B20" s="55">
        <v>45664</v>
      </c>
      <c r="C20" s="55">
        <v>45700</v>
      </c>
      <c r="D20" s="56">
        <v>100000</v>
      </c>
      <c r="E20" s="57">
        <f t="shared" si="0"/>
        <v>27</v>
      </c>
      <c r="F20" s="58">
        <f t="shared" si="1"/>
        <v>2700000</v>
      </c>
    </row>
    <row r="21" spans="1:6" x14ac:dyDescent="0.25">
      <c r="A21" s="54" t="s">
        <v>77</v>
      </c>
      <c r="B21" s="55">
        <v>45666</v>
      </c>
      <c r="C21" s="55">
        <v>45703</v>
      </c>
      <c r="D21" s="56">
        <v>140000</v>
      </c>
      <c r="E21" s="57">
        <f t="shared" si="0"/>
        <v>27</v>
      </c>
      <c r="F21" s="58">
        <f t="shared" si="1"/>
        <v>3780000</v>
      </c>
    </row>
    <row r="22" spans="1:6" x14ac:dyDescent="0.25">
      <c r="A22" s="54" t="s">
        <v>78</v>
      </c>
      <c r="B22" s="55">
        <v>45668</v>
      </c>
      <c r="C22" s="55">
        <v>45707</v>
      </c>
      <c r="D22" s="56">
        <v>175000</v>
      </c>
      <c r="E22" s="57">
        <f t="shared" si="0"/>
        <v>28</v>
      </c>
      <c r="F22" s="58">
        <f t="shared" si="1"/>
        <v>4900000</v>
      </c>
    </row>
    <row r="23" spans="1:6" x14ac:dyDescent="0.25">
      <c r="A23" s="54" t="s">
        <v>79</v>
      </c>
      <c r="B23" s="55">
        <v>45670</v>
      </c>
      <c r="C23" s="55">
        <v>45710</v>
      </c>
      <c r="D23" s="56">
        <v>160000</v>
      </c>
      <c r="E23" s="57">
        <f t="shared" si="0"/>
        <v>30</v>
      </c>
      <c r="F23" s="58">
        <f t="shared" si="1"/>
        <v>4800000</v>
      </c>
    </row>
    <row r="24" spans="1:6" x14ac:dyDescent="0.25">
      <c r="A24" s="54" t="s">
        <v>80</v>
      </c>
      <c r="B24" s="55">
        <v>45672</v>
      </c>
      <c r="C24" s="55">
        <v>45713</v>
      </c>
      <c r="D24" s="56">
        <v>135000</v>
      </c>
      <c r="E24" s="57">
        <f t="shared" si="0"/>
        <v>30</v>
      </c>
      <c r="F24" s="58">
        <f t="shared" si="1"/>
        <v>4050000</v>
      </c>
    </row>
    <row r="25" spans="1:6" x14ac:dyDescent="0.25">
      <c r="A25" s="54" t="s">
        <v>81</v>
      </c>
      <c r="B25" s="55">
        <v>45674</v>
      </c>
      <c r="C25" s="55">
        <v>45715</v>
      </c>
      <c r="D25" s="56">
        <v>190000</v>
      </c>
      <c r="E25" s="57">
        <f t="shared" si="0"/>
        <v>30</v>
      </c>
      <c r="F25" s="58">
        <f t="shared" si="1"/>
        <v>5700000</v>
      </c>
    </row>
    <row r="26" spans="1:6" x14ac:dyDescent="0.25">
      <c r="A26" s="54" t="s">
        <v>82</v>
      </c>
      <c r="B26" s="55">
        <v>45676</v>
      </c>
      <c r="C26" s="55">
        <v>45716</v>
      </c>
      <c r="D26" s="56">
        <v>150000</v>
      </c>
      <c r="E26" s="57">
        <f t="shared" si="0"/>
        <v>30</v>
      </c>
      <c r="F26" s="58">
        <f t="shared" si="1"/>
        <v>4500000</v>
      </c>
    </row>
    <row r="27" spans="1:6" x14ac:dyDescent="0.25">
      <c r="A27" s="54" t="s">
        <v>83</v>
      </c>
      <c r="B27" s="55">
        <v>45665</v>
      </c>
      <c r="C27" s="55">
        <v>45702</v>
      </c>
      <c r="D27" s="56">
        <v>120000</v>
      </c>
      <c r="E27" s="57">
        <f t="shared" si="0"/>
        <v>28</v>
      </c>
      <c r="F27" s="58">
        <f t="shared" si="1"/>
        <v>3360000</v>
      </c>
    </row>
    <row r="28" spans="1:6" x14ac:dyDescent="0.25">
      <c r="A28" s="54" t="s">
        <v>84</v>
      </c>
      <c r="B28" s="55">
        <v>45667</v>
      </c>
      <c r="C28" s="55">
        <v>45706</v>
      </c>
      <c r="D28" s="56">
        <v>155000</v>
      </c>
      <c r="E28" s="57">
        <f t="shared" si="0"/>
        <v>28</v>
      </c>
      <c r="F28" s="58">
        <f t="shared" si="1"/>
        <v>4340000</v>
      </c>
    </row>
    <row r="29" spans="1:6" x14ac:dyDescent="0.25">
      <c r="A29" s="54" t="s">
        <v>85</v>
      </c>
      <c r="B29" s="55">
        <v>45669</v>
      </c>
      <c r="C29" s="55">
        <v>45708</v>
      </c>
      <c r="D29" s="56">
        <v>180000</v>
      </c>
      <c r="E29" s="57">
        <f t="shared" si="0"/>
        <v>29</v>
      </c>
      <c r="F29" s="58">
        <f t="shared" si="1"/>
        <v>5220000</v>
      </c>
    </row>
    <row r="30" spans="1:6" x14ac:dyDescent="0.25">
      <c r="A30" s="54" t="s">
        <v>86</v>
      </c>
      <c r="B30" s="55">
        <v>45671</v>
      </c>
      <c r="C30" s="55">
        <v>45710</v>
      </c>
      <c r="D30" s="56">
        <v>105000</v>
      </c>
      <c r="E30" s="57">
        <f t="shared" si="0"/>
        <v>29</v>
      </c>
      <c r="F30" s="58">
        <f t="shared" si="1"/>
        <v>3045000</v>
      </c>
    </row>
    <row r="31" spans="1:6" x14ac:dyDescent="0.25">
      <c r="A31" s="54" t="s">
        <v>87</v>
      </c>
      <c r="B31" s="55">
        <v>45673</v>
      </c>
      <c r="C31" s="55">
        <v>45712</v>
      </c>
      <c r="D31" s="56">
        <v>165000</v>
      </c>
      <c r="E31" s="57">
        <f t="shared" si="0"/>
        <v>28</v>
      </c>
      <c r="F31" s="58">
        <f t="shared" si="1"/>
        <v>4620000</v>
      </c>
    </row>
    <row r="32" spans="1:6" x14ac:dyDescent="0.25">
      <c r="A32" s="54" t="s">
        <v>88</v>
      </c>
      <c r="B32" s="55">
        <v>45675</v>
      </c>
      <c r="C32" s="55">
        <v>45714</v>
      </c>
      <c r="D32" s="56">
        <v>140000</v>
      </c>
      <c r="E32" s="57">
        <f t="shared" si="0"/>
        <v>28</v>
      </c>
      <c r="F32" s="58">
        <f t="shared" si="1"/>
        <v>3920000</v>
      </c>
    </row>
    <row r="33" spans="1:6" x14ac:dyDescent="0.25">
      <c r="A33" s="54" t="s">
        <v>89</v>
      </c>
      <c r="B33" s="55">
        <v>45677</v>
      </c>
      <c r="C33" s="55">
        <v>45716</v>
      </c>
      <c r="D33" s="56">
        <v>195000</v>
      </c>
      <c r="E33" s="57">
        <f t="shared" si="0"/>
        <v>30</v>
      </c>
      <c r="F33" s="58">
        <f t="shared" si="1"/>
        <v>5850000</v>
      </c>
    </row>
    <row r="34" spans="1:6" x14ac:dyDescent="0.25">
      <c r="A34" s="54" t="s">
        <v>90</v>
      </c>
      <c r="B34" s="55">
        <v>45664</v>
      </c>
      <c r="C34" s="55">
        <v>45701</v>
      </c>
      <c r="D34" s="56">
        <v>150000</v>
      </c>
      <c r="E34" s="57">
        <f t="shared" si="0"/>
        <v>28</v>
      </c>
      <c r="F34" s="58">
        <f t="shared" si="1"/>
        <v>4200000</v>
      </c>
    </row>
    <row r="35" spans="1:6" x14ac:dyDescent="0.25">
      <c r="A35" s="54" t="s">
        <v>91</v>
      </c>
      <c r="B35" s="55">
        <v>45666</v>
      </c>
      <c r="C35" s="55">
        <v>45705</v>
      </c>
      <c r="D35" s="56">
        <v>125000</v>
      </c>
      <c r="E35" s="57">
        <f t="shared" si="0"/>
        <v>28</v>
      </c>
      <c r="F35" s="58">
        <f t="shared" si="1"/>
        <v>3500000</v>
      </c>
    </row>
    <row r="36" spans="1:6" x14ac:dyDescent="0.25">
      <c r="A36" s="54" t="s">
        <v>92</v>
      </c>
      <c r="B36" s="55">
        <v>45668</v>
      </c>
      <c r="C36" s="55">
        <v>45709</v>
      </c>
      <c r="D36" s="56">
        <v>185000</v>
      </c>
      <c r="E36" s="57">
        <f t="shared" si="0"/>
        <v>30</v>
      </c>
      <c r="F36" s="58">
        <f t="shared" si="1"/>
        <v>5550000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5D37-CAD5-4722-8C7B-158E79EFA8DF}">
  <dimension ref="B2:K20"/>
  <sheetViews>
    <sheetView zoomScale="52" workbookViewId="0">
      <selection activeCell="J6" sqref="J6"/>
    </sheetView>
  </sheetViews>
  <sheetFormatPr defaultRowHeight="15" x14ac:dyDescent="0.25"/>
  <cols>
    <col min="1" max="3" width="9.140625" style="25"/>
    <col min="4" max="4" width="10.7109375" style="25" bestFit="1" customWidth="1"/>
    <col min="5" max="5" width="13.140625" style="25" bestFit="1" customWidth="1"/>
    <col min="6" max="7" width="18.140625" style="25" bestFit="1" customWidth="1"/>
    <col min="8" max="8" width="20" style="25" bestFit="1" customWidth="1"/>
    <col min="9" max="9" width="16.28515625" style="25" bestFit="1" customWidth="1"/>
    <col min="10" max="10" width="19" style="25" bestFit="1" customWidth="1"/>
    <col min="11" max="16384" width="9.140625" style="25"/>
  </cols>
  <sheetData>
    <row r="2" spans="2:11" ht="18.75" x14ac:dyDescent="0.3">
      <c r="B2" s="29" t="s">
        <v>36</v>
      </c>
      <c r="C2" s="29"/>
      <c r="D2" s="29"/>
      <c r="E2" s="29"/>
      <c r="F2" s="29"/>
      <c r="G2" s="29"/>
      <c r="H2" s="29"/>
      <c r="I2" s="29"/>
      <c r="J2" s="29"/>
      <c r="K2" s="24"/>
    </row>
    <row r="3" spans="2:11" ht="18.75" x14ac:dyDescent="0.3">
      <c r="B3" s="30" t="s">
        <v>37</v>
      </c>
      <c r="C3" s="30"/>
      <c r="D3" s="30"/>
      <c r="E3" s="30"/>
      <c r="F3" s="30"/>
      <c r="G3" s="30"/>
      <c r="H3" s="30"/>
      <c r="I3" s="30"/>
      <c r="J3" s="30"/>
      <c r="K3" s="26"/>
    </row>
    <row r="4" spans="2:11" x14ac:dyDescent="0.25">
      <c r="B4" s="31" t="s">
        <v>0</v>
      </c>
      <c r="C4" s="31" t="s">
        <v>1</v>
      </c>
      <c r="D4" s="32" t="s">
        <v>38</v>
      </c>
      <c r="E4" s="32" t="s">
        <v>39</v>
      </c>
      <c r="F4" s="32" t="s">
        <v>40</v>
      </c>
      <c r="G4" s="31" t="s">
        <v>41</v>
      </c>
      <c r="H4" s="32" t="s">
        <v>42</v>
      </c>
      <c r="I4" s="31" t="s">
        <v>43</v>
      </c>
      <c r="J4" s="32" t="s">
        <v>44</v>
      </c>
    </row>
    <row r="5" spans="2:11" x14ac:dyDescent="0.25">
      <c r="B5" s="31"/>
      <c r="C5" s="31"/>
      <c r="D5" s="32"/>
      <c r="E5" s="32"/>
      <c r="F5" s="32"/>
      <c r="G5" s="31"/>
      <c r="H5" s="32"/>
      <c r="I5" s="31"/>
      <c r="J5" s="32"/>
    </row>
    <row r="6" spans="2:11" x14ac:dyDescent="0.25">
      <c r="B6" s="35">
        <v>1</v>
      </c>
      <c r="C6" s="36" t="s">
        <v>2</v>
      </c>
      <c r="D6" s="37">
        <v>240</v>
      </c>
      <c r="E6" s="35">
        <v>120</v>
      </c>
      <c r="F6" s="38">
        <f>D6*10000</f>
        <v>2400000</v>
      </c>
      <c r="G6" s="38">
        <f>E6*20000</f>
        <v>2400000</v>
      </c>
      <c r="H6" s="38">
        <f>F6+G6</f>
        <v>4800000</v>
      </c>
      <c r="I6" s="38">
        <f>H6*5%</f>
        <v>240000</v>
      </c>
      <c r="J6" s="38">
        <f>H6-I6</f>
        <v>4560000</v>
      </c>
    </row>
    <row r="7" spans="2:11" x14ac:dyDescent="0.25">
      <c r="B7" s="35">
        <v>2</v>
      </c>
      <c r="C7" s="36" t="s">
        <v>3</v>
      </c>
      <c r="D7" s="37">
        <v>200</v>
      </c>
      <c r="E7" s="35">
        <v>100</v>
      </c>
      <c r="F7" s="38">
        <f t="shared" ref="F7:F12" si="0">D7*10000</f>
        <v>2000000</v>
      </c>
      <c r="G7" s="38">
        <f t="shared" ref="G7:G12" si="1">E7*20000</f>
        <v>2000000</v>
      </c>
      <c r="H7" s="38">
        <f t="shared" ref="H7:H12" si="2">F7+G7</f>
        <v>4000000</v>
      </c>
      <c r="I7" s="38">
        <f t="shared" ref="I7:I12" si="3">H7*5%</f>
        <v>200000</v>
      </c>
      <c r="J7" s="38">
        <f t="shared" ref="J7:J12" si="4">H7-I7</f>
        <v>3800000</v>
      </c>
    </row>
    <row r="8" spans="2:11" x14ac:dyDescent="0.25">
      <c r="B8" s="35">
        <v>3</v>
      </c>
      <c r="C8" s="36" t="s">
        <v>4</v>
      </c>
      <c r="D8" s="37">
        <v>240</v>
      </c>
      <c r="E8" s="35">
        <v>80</v>
      </c>
      <c r="F8" s="38">
        <f t="shared" si="0"/>
        <v>2400000</v>
      </c>
      <c r="G8" s="38">
        <f t="shared" si="1"/>
        <v>1600000</v>
      </c>
      <c r="H8" s="38">
        <f t="shared" si="2"/>
        <v>4000000</v>
      </c>
      <c r="I8" s="38">
        <f t="shared" si="3"/>
        <v>200000</v>
      </c>
      <c r="J8" s="38">
        <f t="shared" si="4"/>
        <v>3800000</v>
      </c>
    </row>
    <row r="9" spans="2:11" x14ac:dyDescent="0.25">
      <c r="B9" s="35">
        <v>4</v>
      </c>
      <c r="C9" s="36" t="s">
        <v>5</v>
      </c>
      <c r="D9" s="37">
        <v>180</v>
      </c>
      <c r="E9" s="35">
        <v>100</v>
      </c>
      <c r="F9" s="38">
        <f t="shared" si="0"/>
        <v>1800000</v>
      </c>
      <c r="G9" s="38">
        <f t="shared" si="1"/>
        <v>2000000</v>
      </c>
      <c r="H9" s="38">
        <f t="shared" si="2"/>
        <v>3800000</v>
      </c>
      <c r="I9" s="38">
        <f t="shared" si="3"/>
        <v>190000</v>
      </c>
      <c r="J9" s="38">
        <f t="shared" si="4"/>
        <v>3610000</v>
      </c>
    </row>
    <row r="10" spans="2:11" x14ac:dyDescent="0.25">
      <c r="B10" s="35">
        <v>5</v>
      </c>
      <c r="C10" s="36" t="s">
        <v>6</v>
      </c>
      <c r="D10" s="37">
        <v>200</v>
      </c>
      <c r="E10" s="35">
        <v>110</v>
      </c>
      <c r="F10" s="38">
        <f t="shared" si="0"/>
        <v>2000000</v>
      </c>
      <c r="G10" s="38">
        <f t="shared" si="1"/>
        <v>2200000</v>
      </c>
      <c r="H10" s="38">
        <f t="shared" si="2"/>
        <v>4200000</v>
      </c>
      <c r="I10" s="38">
        <f t="shared" si="3"/>
        <v>210000</v>
      </c>
      <c r="J10" s="38">
        <f t="shared" si="4"/>
        <v>3990000</v>
      </c>
    </row>
    <row r="11" spans="2:11" x14ac:dyDescent="0.25">
      <c r="B11" s="35">
        <v>6</v>
      </c>
      <c r="C11" s="36" t="s">
        <v>7</v>
      </c>
      <c r="D11" s="37">
        <v>150</v>
      </c>
      <c r="E11" s="35">
        <v>80</v>
      </c>
      <c r="F11" s="38">
        <f t="shared" si="0"/>
        <v>1500000</v>
      </c>
      <c r="G11" s="38">
        <f t="shared" si="1"/>
        <v>1600000</v>
      </c>
      <c r="H11" s="38">
        <f t="shared" si="2"/>
        <v>3100000</v>
      </c>
      <c r="I11" s="38">
        <f t="shared" si="3"/>
        <v>155000</v>
      </c>
      <c r="J11" s="38">
        <f t="shared" si="4"/>
        <v>2945000</v>
      </c>
    </row>
    <row r="12" spans="2:11" x14ac:dyDescent="0.25">
      <c r="B12" s="35">
        <v>7</v>
      </c>
      <c r="C12" s="36" t="s">
        <v>8</v>
      </c>
      <c r="D12" s="37">
        <v>220</v>
      </c>
      <c r="E12" s="35">
        <v>30</v>
      </c>
      <c r="F12" s="38">
        <f t="shared" si="0"/>
        <v>2200000</v>
      </c>
      <c r="G12" s="38">
        <f t="shared" si="1"/>
        <v>600000</v>
      </c>
      <c r="H12" s="38">
        <f t="shared" si="2"/>
        <v>2800000</v>
      </c>
      <c r="I12" s="38">
        <f t="shared" si="3"/>
        <v>140000</v>
      </c>
      <c r="J12" s="38">
        <f t="shared" si="4"/>
        <v>2660000</v>
      </c>
    </row>
    <row r="13" spans="2:11" x14ac:dyDescent="0.25">
      <c r="B13" s="33" t="s">
        <v>45</v>
      </c>
      <c r="C13" s="33"/>
      <c r="D13" s="33"/>
      <c r="E13" s="33"/>
      <c r="F13" s="33"/>
      <c r="G13" s="33"/>
      <c r="H13" s="33"/>
      <c r="I13" s="27">
        <f>SUM(J6:J12)</f>
        <v>25365000</v>
      </c>
      <c r="J13" s="27"/>
    </row>
    <row r="14" spans="2:11" x14ac:dyDescent="0.25">
      <c r="B14" s="33" t="s">
        <v>46</v>
      </c>
      <c r="C14" s="33"/>
      <c r="D14" s="33"/>
      <c r="E14" s="33"/>
      <c r="F14" s="33"/>
      <c r="G14" s="33"/>
      <c r="H14" s="33"/>
      <c r="I14" s="27">
        <f>AVERAGE(J6:J12)</f>
        <v>3623571.4285714286</v>
      </c>
      <c r="J14" s="27"/>
    </row>
    <row r="15" spans="2:11" x14ac:dyDescent="0.25">
      <c r="B15" s="33" t="s">
        <v>47</v>
      </c>
      <c r="C15" s="33"/>
      <c r="D15" s="33"/>
      <c r="E15" s="33"/>
      <c r="F15" s="33"/>
      <c r="G15" s="33"/>
      <c r="H15" s="33"/>
      <c r="I15" s="27">
        <f>MAX(J6:J12)</f>
        <v>4560000</v>
      </c>
      <c r="J15" s="27"/>
    </row>
    <row r="16" spans="2:11" x14ac:dyDescent="0.25">
      <c r="B16" s="33" t="s">
        <v>48</v>
      </c>
      <c r="C16" s="33"/>
      <c r="D16" s="33"/>
      <c r="E16" s="33"/>
      <c r="F16" s="33"/>
      <c r="G16" s="33"/>
      <c r="H16" s="33"/>
      <c r="I16" s="27">
        <f>MIN(J6:J12)</f>
        <v>2660000</v>
      </c>
      <c r="J16" s="27"/>
    </row>
    <row r="18" spans="2:2" x14ac:dyDescent="0.25">
      <c r="B18" s="34" t="s">
        <v>49</v>
      </c>
    </row>
    <row r="19" spans="2:2" x14ac:dyDescent="0.25">
      <c r="B19" s="28" t="s">
        <v>50</v>
      </c>
    </row>
    <row r="20" spans="2:2" x14ac:dyDescent="0.25">
      <c r="B20" s="28" t="s">
        <v>51</v>
      </c>
    </row>
  </sheetData>
  <mergeCells count="19">
    <mergeCell ref="B16:H16"/>
    <mergeCell ref="I16:J16"/>
    <mergeCell ref="B3:J3"/>
    <mergeCell ref="J4:J5"/>
    <mergeCell ref="B13:H13"/>
    <mergeCell ref="I13:J13"/>
    <mergeCell ref="B14:H14"/>
    <mergeCell ref="I14:J14"/>
    <mergeCell ref="B15:H15"/>
    <mergeCell ref="I15:J15"/>
    <mergeCell ref="B2:J2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8125-50F2-4C52-91F3-1DBBB2B3ABC1}">
  <sheetPr>
    <tabColor theme="0"/>
  </sheetPr>
  <dimension ref="B1:N16"/>
  <sheetViews>
    <sheetView tabSelected="1" zoomScale="61" zoomScaleNormal="130" workbookViewId="0">
      <selection activeCell="H24" sqref="H24"/>
    </sheetView>
  </sheetViews>
  <sheetFormatPr defaultRowHeight="16.5" x14ac:dyDescent="0.3"/>
  <cols>
    <col min="1" max="1" width="0.28515625" style="1" customWidth="1"/>
    <col min="2" max="2" width="4.5703125" style="1" customWidth="1"/>
    <col min="3" max="3" width="8.140625" style="1" bestFit="1" customWidth="1"/>
    <col min="4" max="4" width="12.5703125" style="1" customWidth="1"/>
    <col min="5" max="5" width="16.28515625" style="1" bestFit="1" customWidth="1"/>
    <col min="6" max="6" width="17.85546875" style="1" bestFit="1" customWidth="1"/>
    <col min="7" max="7" width="14" style="1" bestFit="1" customWidth="1"/>
    <col min="8" max="8" width="17.85546875" style="1" bestFit="1" customWidth="1"/>
    <col min="9" max="9" width="18.28515625" style="1" bestFit="1" customWidth="1"/>
    <col min="10" max="10" width="17.85546875" style="1" bestFit="1" customWidth="1"/>
    <col min="11" max="11" width="6" style="1" customWidth="1"/>
    <col min="12" max="12" width="13.5703125" style="1" customWidth="1"/>
    <col min="13" max="13" width="12.28515625" style="1" bestFit="1" customWidth="1"/>
    <col min="14" max="14" width="11.7109375" style="1" bestFit="1" customWidth="1"/>
    <col min="15" max="15" width="14.85546875" style="1" customWidth="1"/>
    <col min="16" max="16" width="12.140625" style="1" bestFit="1" customWidth="1"/>
    <col min="17" max="16384" width="9.140625" style="1"/>
  </cols>
  <sheetData>
    <row r="1" spans="2:14" s="11" customFormat="1" x14ac:dyDescent="0.25">
      <c r="B1" s="16"/>
      <c r="C1" s="16"/>
      <c r="D1" s="16"/>
      <c r="E1" s="21"/>
      <c r="F1" s="22"/>
      <c r="G1" s="22"/>
    </row>
    <row r="2" spans="2:14" x14ac:dyDescent="0.3">
      <c r="B2" s="18" t="s">
        <v>0</v>
      </c>
      <c r="C2" s="18" t="s">
        <v>1</v>
      </c>
      <c r="D2" s="17" t="s">
        <v>10</v>
      </c>
      <c r="E2" s="19" t="s">
        <v>9</v>
      </c>
      <c r="F2" s="18" t="s">
        <v>11</v>
      </c>
      <c r="G2" s="17" t="s">
        <v>12</v>
      </c>
      <c r="H2" s="17" t="s">
        <v>13</v>
      </c>
      <c r="I2" s="19" t="s">
        <v>26</v>
      </c>
      <c r="J2" s="17" t="s">
        <v>14</v>
      </c>
    </row>
    <row r="3" spans="2:14" ht="15" customHeight="1" x14ac:dyDescent="0.3">
      <c r="B3" s="18"/>
      <c r="C3" s="18"/>
      <c r="D3" s="17"/>
      <c r="E3" s="20"/>
      <c r="F3" s="18"/>
      <c r="G3" s="17"/>
      <c r="H3" s="17"/>
      <c r="I3" s="20"/>
      <c r="J3" s="17"/>
      <c r="L3" s="3" t="s">
        <v>15</v>
      </c>
    </row>
    <row r="4" spans="2:14" x14ac:dyDescent="0.3">
      <c r="B4" s="4">
        <v>1</v>
      </c>
      <c r="C4" s="5" t="s">
        <v>2</v>
      </c>
      <c r="D4" s="8" t="s">
        <v>17</v>
      </c>
      <c r="E4" s="8" t="s">
        <v>21</v>
      </c>
      <c r="F4" s="47">
        <f>VLOOKUP(D4,$L$4:$N$9,2,FALSE)</f>
        <v>3000000</v>
      </c>
      <c r="G4" s="10">
        <v>4</v>
      </c>
      <c r="H4" s="48">
        <f>IF(G4&gt;3,3*100000,G4*100000)</f>
        <v>300000</v>
      </c>
      <c r="I4" s="49">
        <f>VLOOKUP(D4,$L$4:$N$9,3,FALSE)</f>
        <v>400000</v>
      </c>
      <c r="J4" s="50">
        <f>F4+H4+I4</f>
        <v>3700000</v>
      </c>
      <c r="L4" s="9" t="s">
        <v>10</v>
      </c>
      <c r="M4" s="9" t="s">
        <v>11</v>
      </c>
      <c r="N4" s="9" t="s">
        <v>25</v>
      </c>
    </row>
    <row r="5" spans="2:14" x14ac:dyDescent="0.3">
      <c r="B5" s="4">
        <v>2</v>
      </c>
      <c r="C5" s="5" t="s">
        <v>3</v>
      </c>
      <c r="D5" s="8" t="s">
        <v>16</v>
      </c>
      <c r="E5" s="8" t="s">
        <v>20</v>
      </c>
      <c r="F5" s="47">
        <f t="shared" ref="F5:F10" si="0">VLOOKUP(D5,$L$4:$N$9,2,FALSE)</f>
        <v>3500000</v>
      </c>
      <c r="G5" s="10">
        <v>0</v>
      </c>
      <c r="H5" s="48">
        <f t="shared" ref="H5:H10" si="1">IF(G5&gt;3,3*100000,G5*100000)</f>
        <v>0</v>
      </c>
      <c r="I5" s="49">
        <f t="shared" ref="I5:I10" si="2">VLOOKUP(D5,$L$4:$N$9,3,FALSE)</f>
        <v>500000</v>
      </c>
      <c r="J5" s="50">
        <f t="shared" ref="J5:J10" si="3">F5+H5+I5</f>
        <v>4000000</v>
      </c>
      <c r="L5" s="6" t="s">
        <v>16</v>
      </c>
      <c r="M5" s="7">
        <v>3500000</v>
      </c>
      <c r="N5" s="7">
        <v>500000</v>
      </c>
    </row>
    <row r="6" spans="2:14" x14ac:dyDescent="0.3">
      <c r="B6" s="4">
        <v>3</v>
      </c>
      <c r="C6" s="5" t="s">
        <v>4</v>
      </c>
      <c r="D6" s="8" t="s">
        <v>28</v>
      </c>
      <c r="E6" s="8" t="s">
        <v>20</v>
      </c>
      <c r="F6" s="47">
        <f t="shared" si="0"/>
        <v>3000000</v>
      </c>
      <c r="G6" s="10">
        <v>0</v>
      </c>
      <c r="H6" s="48">
        <f t="shared" si="1"/>
        <v>0</v>
      </c>
      <c r="I6" s="49">
        <f t="shared" si="2"/>
        <v>350000</v>
      </c>
      <c r="J6" s="50">
        <f t="shared" si="3"/>
        <v>3350000</v>
      </c>
      <c r="L6" s="6" t="s">
        <v>17</v>
      </c>
      <c r="M6" s="7">
        <v>3000000</v>
      </c>
      <c r="N6" s="7">
        <v>400000</v>
      </c>
    </row>
    <row r="7" spans="2:14" x14ac:dyDescent="0.3">
      <c r="B7" s="4">
        <v>4</v>
      </c>
      <c r="C7" s="5" t="s">
        <v>5</v>
      </c>
      <c r="D7" s="8" t="s">
        <v>19</v>
      </c>
      <c r="E7" s="8" t="s">
        <v>21</v>
      </c>
      <c r="F7" s="47">
        <f t="shared" si="0"/>
        <v>2700000</v>
      </c>
      <c r="G7" s="10">
        <v>3</v>
      </c>
      <c r="H7" s="48">
        <f t="shared" si="1"/>
        <v>300000</v>
      </c>
      <c r="I7" s="49">
        <f t="shared" si="2"/>
        <v>500000</v>
      </c>
      <c r="J7" s="50">
        <f t="shared" si="3"/>
        <v>3500000</v>
      </c>
      <c r="L7" s="6" t="s">
        <v>28</v>
      </c>
      <c r="M7" s="7">
        <v>3000000</v>
      </c>
      <c r="N7" s="7">
        <v>350000</v>
      </c>
    </row>
    <row r="8" spans="2:14" x14ac:dyDescent="0.3">
      <c r="B8" s="4">
        <v>5</v>
      </c>
      <c r="C8" s="5" t="s">
        <v>6</v>
      </c>
      <c r="D8" s="8" t="s">
        <v>19</v>
      </c>
      <c r="E8" s="8" t="s">
        <v>21</v>
      </c>
      <c r="F8" s="47">
        <f t="shared" si="0"/>
        <v>2700000</v>
      </c>
      <c r="G8" s="10">
        <v>1</v>
      </c>
      <c r="H8" s="48">
        <f t="shared" si="1"/>
        <v>100000</v>
      </c>
      <c r="I8" s="49">
        <f t="shared" si="2"/>
        <v>500000</v>
      </c>
      <c r="J8" s="50">
        <f t="shared" si="3"/>
        <v>3300000</v>
      </c>
      <c r="L8" s="6" t="s">
        <v>18</v>
      </c>
      <c r="M8" s="7">
        <v>2500000</v>
      </c>
      <c r="N8" s="7">
        <v>250000</v>
      </c>
    </row>
    <row r="9" spans="2:14" x14ac:dyDescent="0.3">
      <c r="B9" s="4">
        <v>6</v>
      </c>
      <c r="C9" s="5" t="s">
        <v>7</v>
      </c>
      <c r="D9" s="8" t="s">
        <v>18</v>
      </c>
      <c r="E9" s="44" t="s">
        <v>21</v>
      </c>
      <c r="F9" s="47">
        <f t="shared" si="0"/>
        <v>2500000</v>
      </c>
      <c r="G9" s="45">
        <v>2</v>
      </c>
      <c r="H9" s="48">
        <f t="shared" si="1"/>
        <v>200000</v>
      </c>
      <c r="I9" s="49">
        <f t="shared" si="2"/>
        <v>250000</v>
      </c>
      <c r="J9" s="50">
        <f t="shared" si="3"/>
        <v>2950000</v>
      </c>
      <c r="L9" s="6" t="s">
        <v>19</v>
      </c>
      <c r="M9" s="7">
        <v>2700000</v>
      </c>
      <c r="N9" s="7">
        <v>500000</v>
      </c>
    </row>
    <row r="10" spans="2:14" x14ac:dyDescent="0.3">
      <c r="B10" s="4">
        <v>7</v>
      </c>
      <c r="C10" s="5" t="s">
        <v>8</v>
      </c>
      <c r="D10" s="46" t="s">
        <v>18</v>
      </c>
      <c r="E10" s="8" t="s">
        <v>20</v>
      </c>
      <c r="F10" s="47">
        <f t="shared" si="0"/>
        <v>2500000</v>
      </c>
      <c r="G10" s="10">
        <v>0</v>
      </c>
      <c r="H10" s="48">
        <f t="shared" si="1"/>
        <v>0</v>
      </c>
      <c r="I10" s="49">
        <f t="shared" si="2"/>
        <v>250000</v>
      </c>
      <c r="J10" s="50">
        <f t="shared" si="3"/>
        <v>2750000</v>
      </c>
      <c r="K10"/>
      <c r="L10" s="3"/>
    </row>
    <row r="11" spans="2:14" x14ac:dyDescent="0.3">
      <c r="B11" s="39"/>
      <c r="C11" s="40"/>
      <c r="D11" s="23"/>
      <c r="E11" s="23"/>
      <c r="F11" s="41"/>
      <c r="G11" s="42"/>
      <c r="H11" s="41"/>
      <c r="I11" s="41"/>
      <c r="J11" s="43"/>
      <c r="K11"/>
      <c r="L11" s="3"/>
    </row>
    <row r="12" spans="2:14" x14ac:dyDescent="0.3">
      <c r="B12" s="14" t="s">
        <v>22</v>
      </c>
      <c r="C12" s="14"/>
      <c r="D12" s="14"/>
      <c r="E12" s="51">
        <f>SUM(J4:J10)</f>
        <v>23550000</v>
      </c>
      <c r="F12" s="14" t="s">
        <v>30</v>
      </c>
      <c r="G12" s="14"/>
      <c r="H12" s="12">
        <f>SUMIF($D$4:$D$10,"Keuangan",$J$4:$J$10)</f>
        <v>4000000</v>
      </c>
      <c r="I12" s="2"/>
      <c r="J12" s="2"/>
      <c r="K12"/>
      <c r="L12" s="13" t="s">
        <v>13</v>
      </c>
      <c r="M12" s="13"/>
      <c r="N12" s="13"/>
    </row>
    <row r="13" spans="2:14" x14ac:dyDescent="0.3">
      <c r="B13" s="14" t="s">
        <v>27</v>
      </c>
      <c r="C13" s="14"/>
      <c r="D13" s="14"/>
      <c r="E13" s="52">
        <f>AVERAGE(J4:J10)</f>
        <v>3364285.7142857141</v>
      </c>
      <c r="F13" s="14" t="s">
        <v>31</v>
      </c>
      <c r="G13" s="14"/>
      <c r="H13" s="12">
        <f>SUMIF($D$4:$D$10,"HRD",$J$4:$J$10)</f>
        <v>3700000</v>
      </c>
      <c r="I13" s="2"/>
      <c r="J13" s="2"/>
      <c r="K13"/>
      <c r="L13" s="15" t="s">
        <v>29</v>
      </c>
      <c r="M13" s="15"/>
      <c r="N13" s="15"/>
    </row>
    <row r="14" spans="2:14" x14ac:dyDescent="0.3">
      <c r="B14" s="14" t="s">
        <v>23</v>
      </c>
      <c r="C14" s="14"/>
      <c r="D14" s="14"/>
      <c r="E14" s="52">
        <f>MAX(J4:J10)</f>
        <v>4000000</v>
      </c>
      <c r="F14" s="14" t="s">
        <v>32</v>
      </c>
      <c r="G14" s="14"/>
      <c r="H14" s="12">
        <f>SUMIF($D$4:$D$10,"Admin",$J$4:$J$10)</f>
        <v>3350000</v>
      </c>
      <c r="I14" s="2"/>
      <c r="J14" s="2"/>
      <c r="K14"/>
      <c r="L14" s="15"/>
      <c r="M14" s="15"/>
      <c r="N14" s="15"/>
    </row>
    <row r="15" spans="2:14" x14ac:dyDescent="0.3">
      <c r="B15" s="14" t="s">
        <v>24</v>
      </c>
      <c r="C15" s="14"/>
      <c r="D15" s="14"/>
      <c r="E15" s="51">
        <f>MIN(J4:J10)</f>
        <v>2750000</v>
      </c>
      <c r="F15" s="14" t="s">
        <v>33</v>
      </c>
      <c r="G15" s="14"/>
      <c r="H15" s="12">
        <f>SUMIF($D$4:$D$10,"Warehouse",$J$4:$J$10)</f>
        <v>5700000</v>
      </c>
      <c r="I15" s="2"/>
      <c r="J15" s="2"/>
      <c r="K15"/>
      <c r="L15" s="15"/>
      <c r="M15" s="15"/>
      <c r="N15" s="15"/>
    </row>
    <row r="16" spans="2:14" x14ac:dyDescent="0.3">
      <c r="B16" s="14" t="s">
        <v>35</v>
      </c>
      <c r="C16" s="14"/>
      <c r="D16" s="14"/>
      <c r="E16" s="52">
        <f>SUM(H4:I10)</f>
        <v>3650000</v>
      </c>
      <c r="F16" s="14" t="s">
        <v>34</v>
      </c>
      <c r="G16" s="14"/>
      <c r="H16" s="12">
        <f>SUMIF($D$4:$D$10,"Marketing",$J$4:$J$10)</f>
        <v>6800000</v>
      </c>
      <c r="I16" s="2"/>
      <c r="J16" s="2"/>
    </row>
  </sheetData>
  <mergeCells count="23">
    <mergeCell ref="B1:D1"/>
    <mergeCell ref="G2:G3"/>
    <mergeCell ref="H2:H3"/>
    <mergeCell ref="J2:J3"/>
    <mergeCell ref="B2:B3"/>
    <mergeCell ref="C2:C3"/>
    <mergeCell ref="E2:E3"/>
    <mergeCell ref="D2:D3"/>
    <mergeCell ref="F2:F3"/>
    <mergeCell ref="I2:I3"/>
    <mergeCell ref="E1:G1"/>
    <mergeCell ref="F16:G16"/>
    <mergeCell ref="B12:D12"/>
    <mergeCell ref="B13:D13"/>
    <mergeCell ref="B14:D14"/>
    <mergeCell ref="B15:D15"/>
    <mergeCell ref="B16:D16"/>
    <mergeCell ref="L12:N12"/>
    <mergeCell ref="F12:G12"/>
    <mergeCell ref="F13:G13"/>
    <mergeCell ref="F14:G14"/>
    <mergeCell ref="F15:G15"/>
    <mergeCell ref="L13:N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Payout per Hari Kerja</vt:lpstr>
      <vt:lpstr>Daftar Upah</vt:lpstr>
      <vt:lpstr>Daftar 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Suci Intan Aisyah</cp:lastModifiedBy>
  <dcterms:created xsi:type="dcterms:W3CDTF">2021-06-04T07:42:26Z</dcterms:created>
  <dcterms:modified xsi:type="dcterms:W3CDTF">2026-08-18T05:30:25Z</dcterms:modified>
</cp:coreProperties>
</file>