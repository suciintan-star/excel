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\Track Job\Project\excel\"/>
    </mc:Choice>
  </mc:AlternateContent>
  <xr:revisionPtr revIDLastSave="0" documentId="13_ncr:1_{79B87AFA-CE1B-454E-AFAC-137C24B01DE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Vlookup" sheetId="1" r:id="rId1"/>
    <sheet name="Hlookup" sheetId="3" r:id="rId2"/>
    <sheet name="Vlookup 2" sheetId="4" r:id="rId3"/>
  </sheets>
  <calcPr calcId="191029"/>
  <extLst>
    <ext uri="GoogleSheetsCustomDataVersion2">
      <go:sheetsCustomData xmlns:go="http://customooxmlschemas.google.com/" r:id="rId7" roundtripDataChecksum="tQQzp0MI1Fcnqgqcy7wmMiTLZTNuyQq5bRfTOJ1BWXU="/>
    </ext>
  </extLst>
</workbook>
</file>

<file path=xl/calcChain.xml><?xml version="1.0" encoding="utf-8"?>
<calcChain xmlns="http://schemas.openxmlformats.org/spreadsheetml/2006/main">
  <c r="D11" i="4" l="1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D2" i="3" l="1"/>
  <c r="L2" i="3"/>
  <c r="L4" i="1"/>
  <c r="L8" i="1"/>
  <c r="L12" i="1"/>
  <c r="L16" i="1"/>
  <c r="L20" i="1"/>
  <c r="L24" i="1"/>
  <c r="L28" i="1"/>
  <c r="L32" i="1"/>
  <c r="L36" i="1"/>
  <c r="K3" i="1"/>
  <c r="L3" i="1" s="1"/>
  <c r="K4" i="1"/>
  <c r="K5" i="1"/>
  <c r="L5" i="1" s="1"/>
  <c r="K6" i="1"/>
  <c r="L6" i="1" s="1"/>
  <c r="K7" i="1"/>
  <c r="L7" i="1" s="1"/>
  <c r="K8" i="1"/>
  <c r="K9" i="1"/>
  <c r="L9" i="1" s="1"/>
  <c r="K10" i="1"/>
  <c r="L10" i="1" s="1"/>
  <c r="K11" i="1"/>
  <c r="L11" i="1" s="1"/>
  <c r="K12" i="1"/>
  <c r="K13" i="1"/>
  <c r="L13" i="1" s="1"/>
  <c r="K14" i="1"/>
  <c r="L14" i="1" s="1"/>
  <c r="K15" i="1"/>
  <c r="L15" i="1" s="1"/>
  <c r="K16" i="1"/>
  <c r="K17" i="1"/>
  <c r="L17" i="1" s="1"/>
  <c r="K18" i="1"/>
  <c r="L18" i="1" s="1"/>
  <c r="K19" i="1"/>
  <c r="L19" i="1" s="1"/>
  <c r="K20" i="1"/>
  <c r="K21" i="1"/>
  <c r="L21" i="1" s="1"/>
  <c r="K22" i="1"/>
  <c r="L22" i="1" s="1"/>
  <c r="K23" i="1"/>
  <c r="L23" i="1" s="1"/>
  <c r="K24" i="1"/>
  <c r="K25" i="1"/>
  <c r="L25" i="1" s="1"/>
  <c r="K26" i="1"/>
  <c r="L26" i="1" s="1"/>
  <c r="K27" i="1"/>
  <c r="L27" i="1" s="1"/>
  <c r="K28" i="1"/>
  <c r="K29" i="1"/>
  <c r="L29" i="1" s="1"/>
  <c r="K30" i="1"/>
  <c r="L30" i="1" s="1"/>
  <c r="K31" i="1"/>
  <c r="L31" i="1" s="1"/>
  <c r="K32" i="1"/>
  <c r="K33" i="1"/>
  <c r="L33" i="1" s="1"/>
  <c r="K34" i="1"/>
  <c r="L34" i="1" s="1"/>
  <c r="K35" i="1"/>
  <c r="L35" i="1" s="1"/>
  <c r="K36" i="1"/>
  <c r="K2" i="1"/>
  <c r="L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" i="1"/>
  <c r="L36" i="3"/>
  <c r="K36" i="3"/>
  <c r="D36" i="3"/>
  <c r="L35" i="3"/>
  <c r="K35" i="3"/>
  <c r="D35" i="3"/>
  <c r="L34" i="3"/>
  <c r="K34" i="3"/>
  <c r="D34" i="3"/>
  <c r="L33" i="3"/>
  <c r="K33" i="3"/>
  <c r="D33" i="3"/>
  <c r="L32" i="3"/>
  <c r="K32" i="3"/>
  <c r="D32" i="3"/>
  <c r="L31" i="3"/>
  <c r="K31" i="3"/>
  <c r="D31" i="3"/>
  <c r="L30" i="3"/>
  <c r="K30" i="3"/>
  <c r="D30" i="3"/>
  <c r="L29" i="3"/>
  <c r="K29" i="3"/>
  <c r="D29" i="3"/>
  <c r="L28" i="3"/>
  <c r="K28" i="3"/>
  <c r="D28" i="3"/>
  <c r="L27" i="3"/>
  <c r="K27" i="3"/>
  <c r="D27" i="3"/>
  <c r="L26" i="3"/>
  <c r="K26" i="3"/>
  <c r="D26" i="3"/>
  <c r="L25" i="3"/>
  <c r="K25" i="3"/>
  <c r="D25" i="3"/>
  <c r="L24" i="3"/>
  <c r="K24" i="3"/>
  <c r="D24" i="3"/>
  <c r="L23" i="3"/>
  <c r="K23" i="3"/>
  <c r="D23" i="3"/>
  <c r="L22" i="3"/>
  <c r="K22" i="3"/>
  <c r="D22" i="3"/>
  <c r="L21" i="3"/>
  <c r="K21" i="3"/>
  <c r="D21" i="3"/>
  <c r="L20" i="3"/>
  <c r="K20" i="3"/>
  <c r="D20" i="3"/>
  <c r="L19" i="3"/>
  <c r="K19" i="3"/>
  <c r="D19" i="3"/>
  <c r="L18" i="3"/>
  <c r="K18" i="3"/>
  <c r="D18" i="3"/>
  <c r="L17" i="3"/>
  <c r="K17" i="3"/>
  <c r="D17" i="3"/>
  <c r="L16" i="3"/>
  <c r="K16" i="3"/>
  <c r="D16" i="3"/>
  <c r="L15" i="3"/>
  <c r="K15" i="3"/>
  <c r="D15" i="3"/>
  <c r="L14" i="3"/>
  <c r="K14" i="3"/>
  <c r="D14" i="3"/>
  <c r="L13" i="3"/>
  <c r="K13" i="3"/>
  <c r="D13" i="3"/>
  <c r="L12" i="3"/>
  <c r="K12" i="3"/>
  <c r="D12" i="3"/>
  <c r="L11" i="3"/>
  <c r="K11" i="3"/>
  <c r="D11" i="3"/>
  <c r="L10" i="3"/>
  <c r="K10" i="3"/>
  <c r="D10" i="3"/>
  <c r="L9" i="3"/>
  <c r="K9" i="3"/>
  <c r="D9" i="3"/>
  <c r="L8" i="3"/>
  <c r="K8" i="3"/>
  <c r="D8" i="3"/>
  <c r="L7" i="3"/>
  <c r="K7" i="3"/>
  <c r="D7" i="3"/>
  <c r="L6" i="3"/>
  <c r="K6" i="3"/>
  <c r="D6" i="3"/>
  <c r="L5" i="3"/>
  <c r="K5" i="3"/>
  <c r="D5" i="3"/>
  <c r="L4" i="3"/>
  <c r="K4" i="3"/>
  <c r="D4" i="3"/>
  <c r="L3" i="3"/>
  <c r="K3" i="3"/>
  <c r="D3" i="3"/>
  <c r="K2" i="3"/>
</calcChain>
</file>

<file path=xl/sharedStrings.xml><?xml version="1.0" encoding="utf-8"?>
<sst xmlns="http://schemas.openxmlformats.org/spreadsheetml/2006/main" count="469" uniqueCount="109">
  <si>
    <t>No</t>
  </si>
  <si>
    <t>Tanggal Produksi</t>
  </si>
  <si>
    <t>Kode Produk</t>
  </si>
  <si>
    <t xml:space="preserve">Nama Produk </t>
  </si>
  <si>
    <t>Batch No</t>
  </si>
  <si>
    <t>Shift</t>
  </si>
  <si>
    <t>Jumlah Produksi</t>
  </si>
  <si>
    <t>Unit (pcs)</t>
  </si>
  <si>
    <t>Operator</t>
  </si>
  <si>
    <t>Status QC</t>
  </si>
  <si>
    <t>Harga Produksi</t>
  </si>
  <si>
    <t>Nilai Produksi</t>
  </si>
  <si>
    <t>PRD001</t>
  </si>
  <si>
    <t>B001</t>
  </si>
  <si>
    <t>pcs</t>
  </si>
  <si>
    <t>Andi</t>
  </si>
  <si>
    <t>Lulus</t>
  </si>
  <si>
    <t>PRD002</t>
  </si>
  <si>
    <t>B002</t>
  </si>
  <si>
    <t>Sinta</t>
  </si>
  <si>
    <t>PRD003</t>
  </si>
  <si>
    <t>B003</t>
  </si>
  <si>
    <t>Rudi</t>
  </si>
  <si>
    <t>Rework</t>
  </si>
  <si>
    <t>PRD004</t>
  </si>
  <si>
    <t>B004</t>
  </si>
  <si>
    <t>Dwi</t>
  </si>
  <si>
    <t>PRD005</t>
  </si>
  <si>
    <t>B005</t>
  </si>
  <si>
    <t>Tono</t>
  </si>
  <si>
    <t>PRD006</t>
  </si>
  <si>
    <t>B006</t>
  </si>
  <si>
    <t>B007</t>
  </si>
  <si>
    <t>PRD007</t>
  </si>
  <si>
    <t>B008</t>
  </si>
  <si>
    <t>Nama Produk</t>
  </si>
  <si>
    <t>Harga per Unit (Rp)</t>
  </si>
  <si>
    <t>PRD008</t>
  </si>
  <si>
    <t>B009</t>
  </si>
  <si>
    <t>Lipstick Matte</t>
  </si>
  <si>
    <t>B010</t>
  </si>
  <si>
    <t>Face Wash</t>
  </si>
  <si>
    <t>PRD009</t>
  </si>
  <si>
    <t>B011</t>
  </si>
  <si>
    <t>Serum Vitamin C</t>
  </si>
  <si>
    <t>PRD010</t>
  </si>
  <si>
    <t>B012</t>
  </si>
  <si>
    <t>Hand Sanitizer</t>
  </si>
  <si>
    <t>PRD011</t>
  </si>
  <si>
    <t>B013</t>
  </si>
  <si>
    <t>Night Cream</t>
  </si>
  <si>
    <t>B014</t>
  </si>
  <si>
    <t>Day Cream</t>
  </si>
  <si>
    <t>B015</t>
  </si>
  <si>
    <t>Body Lotion</t>
  </si>
  <si>
    <t>B016</t>
  </si>
  <si>
    <t>Shampoo Herbal</t>
  </si>
  <si>
    <t>PRD012</t>
  </si>
  <si>
    <t>B017</t>
  </si>
  <si>
    <t>Conditioner</t>
  </si>
  <si>
    <t>PRD013</t>
  </si>
  <si>
    <t>B018</t>
  </si>
  <si>
    <t>Sunscreen SPF30</t>
  </si>
  <si>
    <t>B019</t>
  </si>
  <si>
    <t>Hair Serum</t>
  </si>
  <si>
    <t>B020</t>
  </si>
  <si>
    <t>Eye Shadow</t>
  </si>
  <si>
    <t>B021</t>
  </si>
  <si>
    <t>Toner Bright</t>
  </si>
  <si>
    <t>B022</t>
  </si>
  <si>
    <t>PRD014</t>
  </si>
  <si>
    <t>Compact Powder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</si>
  <si>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</si>
  <si>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</si>
  <si>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</si>
  <si>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</si>
  <si>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</si>
  <si>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</si>
  <si>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</si>
  <si>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</si>
  <si>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</si>
  <si>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</si>
  <si>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</si>
  <si>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</si>
  <si>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</si>
  <si>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Harga produk</t>
  </si>
  <si>
    <t>Nilai produksi</t>
  </si>
  <si>
    <t>TABEL REFERENSI HLOOKUP</t>
  </si>
  <si>
    <t>Nama</t>
  </si>
  <si>
    <t>Harga</t>
  </si>
  <si>
    <t>NAMA</t>
  </si>
  <si>
    <t>Gol</t>
  </si>
  <si>
    <t>Gaji Pokok</t>
  </si>
  <si>
    <t>Tunjangan</t>
  </si>
  <si>
    <t>Astri</t>
  </si>
  <si>
    <t>I</t>
  </si>
  <si>
    <t>Jefri</t>
  </si>
  <si>
    <t>II</t>
  </si>
  <si>
    <t>Erni</t>
  </si>
  <si>
    <t>IV</t>
  </si>
  <si>
    <t>Tinus</t>
  </si>
  <si>
    <t>III</t>
  </si>
  <si>
    <t>Zet</t>
  </si>
  <si>
    <t>Jimmy</t>
  </si>
  <si>
    <t>Andrea</t>
  </si>
  <si>
    <t>Lani</t>
  </si>
  <si>
    <t>Jekky</t>
  </si>
  <si>
    <t>Intan</t>
  </si>
  <si>
    <t>Isi gaji pokok dan tunjangan berdasarkan Golongan pakai rumus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</si>
</sst>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[$Rp-3809]* #,##0_-;\-[$Rp-3809]* #,##0_-;_-[$Rp-3809]* &quot;-&quot;??_-;_-@_-"/>
    <numFmt numFmtId="167" formatCode="_-&quot;Rp&quot;* #,##0_-;\-&quot;Rp&quot;* #,##0_-;_-&quot;Rp&quot;* &quot;-&quot;_-;_-@_-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6C6"/>
        <bgColor rgb="FFFFC6C6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6" fontId="2" fillId="0" borderId="1" xfId="0" applyNumberFormat="1" applyFont="1" applyBorder="1"/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67" fontId="5" fillId="3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7" fontId="0" fillId="0" borderId="0" xfId="0" applyNumberFormat="1"/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167" fontId="5" fillId="0" borderId="3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167" fontId="5" fillId="3" borderId="3" xfId="0" applyNumberFormat="1" applyFont="1" applyFill="1" applyBorder="1" applyAlignment="1">
      <alignment horizontal="center" vertical="center" wrapText="1"/>
    </xf>
    <xf numFmtId="167" fontId="0" fillId="0" borderId="3" xfId="0" applyNumberFormat="1" applyBorder="1" applyAlignment="1">
      <alignment horizontal="right" wrapText="1"/>
    </xf>
    <xf numFmtId="0" fontId="0" fillId="0" borderId="4" xfId="0" applyBorder="1" applyAlignment="1">
      <alignment wrapText="1"/>
    </xf>
    <xf numFmtId="167" fontId="0" fillId="0" borderId="4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>
      <selection activeCell="D56" sqref="D56"/>
    </sheetView>
  </sheetViews>
  <sheetFormatPr defaultColWidth="14.42578125" defaultRowHeight="15" customHeight="1" x14ac:dyDescent="0.25"/>
  <cols>
    <col min="1" max="1" width="8.7109375" customWidth="1"/>
    <col min="2" max="2" width="15.140625" customWidth="1"/>
    <col min="3" max="3" width="14.28515625" customWidth="1"/>
    <col min="4" max="4" width="19.28515625" customWidth="1"/>
    <col min="5" max="10" width="8.7109375" customWidth="1"/>
    <col min="11" max="11" width="11.85546875" bestFit="1" customWidth="1"/>
    <col min="12" max="12" width="15" bestFit="1" customWidth="1"/>
    <col min="13" max="13" width="10" customWidth="1"/>
    <col min="14" max="14" width="12.28515625" bestFit="1" customWidth="1"/>
    <col min="15" max="15" width="16.140625" bestFit="1" customWidth="1"/>
    <col min="16" max="16" width="18.140625" bestFit="1" customWidth="1"/>
    <col min="17" max="26" width="8.71093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6" ht="14.25" customHeight="1" x14ac:dyDescent="0.25">
      <c r="A2" s="3">
        <v>1</v>
      </c>
      <c r="B2" s="4">
        <v>45659</v>
      </c>
      <c r="C2" s="3" t="s">
        <v>12</v>
      </c>
      <c r="D2" s="3" t="str">
        <f>VLOOKUP(C2,$N$9:$P$23,2,FALSE)</f>
        <v>Lipstick Matte</v>
      </c>
      <c r="E2" s="3" t="s">
        <v>13</v>
      </c>
      <c r="F2" s="5">
        <v>1</v>
      </c>
      <c r="G2" s="5">
        <v>1200</v>
      </c>
      <c r="H2" s="5" t="s">
        <v>14</v>
      </c>
      <c r="I2" s="5" t="s">
        <v>15</v>
      </c>
      <c r="J2" s="5" t="s">
        <v>16</v>
      </c>
      <c r="K2" s="17">
        <f>VLOOKUP(C2,$N$9:$P$23,3,FALSE)</f>
        <v>45000</v>
      </c>
      <c r="L2" s="17">
        <f>G2*K2</f>
        <v>54000000</v>
      </c>
    </row>
    <row r="3" spans="1:16" ht="14.25" customHeight="1" x14ac:dyDescent="0.25">
      <c r="A3" s="3">
        <v>2</v>
      </c>
      <c r="B3" s="4">
        <v>45659</v>
      </c>
      <c r="C3" s="3" t="s">
        <v>17</v>
      </c>
      <c r="D3" s="3" t="str">
        <f t="shared" ref="D3:D36" si="0">VLOOKUP(C3,$N$9:$P$23,2,FALSE)</f>
        <v>Face Wash</v>
      </c>
      <c r="E3" s="3" t="s">
        <v>18</v>
      </c>
      <c r="F3" s="5">
        <v>1</v>
      </c>
      <c r="G3" s="5">
        <v>2500</v>
      </c>
      <c r="H3" s="5" t="s">
        <v>14</v>
      </c>
      <c r="I3" s="5" t="s">
        <v>19</v>
      </c>
      <c r="J3" s="5" t="s">
        <v>16</v>
      </c>
      <c r="K3" s="17">
        <f t="shared" ref="K3:K36" si="1">VLOOKUP(C3,$N$9:$P$23,3,FALSE)</f>
        <v>30000</v>
      </c>
      <c r="L3" s="17">
        <f t="shared" ref="L3:L36" si="2">G3*K3</f>
        <v>75000000</v>
      </c>
    </row>
    <row r="4" spans="1:16" ht="14.25" customHeight="1" x14ac:dyDescent="0.25">
      <c r="A4" s="3">
        <v>3</v>
      </c>
      <c r="B4" s="4">
        <v>45659</v>
      </c>
      <c r="C4" s="3" t="s">
        <v>20</v>
      </c>
      <c r="D4" s="3" t="str">
        <f t="shared" si="0"/>
        <v>Serum Vitamin C</v>
      </c>
      <c r="E4" s="3" t="s">
        <v>21</v>
      </c>
      <c r="F4" s="5">
        <v>2</v>
      </c>
      <c r="G4" s="5">
        <v>1800</v>
      </c>
      <c r="H4" s="5" t="s">
        <v>14</v>
      </c>
      <c r="I4" s="5" t="s">
        <v>22</v>
      </c>
      <c r="J4" s="5" t="s">
        <v>23</v>
      </c>
      <c r="K4" s="17">
        <f t="shared" si="1"/>
        <v>75000</v>
      </c>
      <c r="L4" s="17">
        <f t="shared" si="2"/>
        <v>135000000</v>
      </c>
    </row>
    <row r="5" spans="1:16" ht="14.25" customHeight="1" x14ac:dyDescent="0.25">
      <c r="A5" s="3">
        <v>4</v>
      </c>
      <c r="B5" s="4">
        <v>45660</v>
      </c>
      <c r="C5" s="3" t="s">
        <v>24</v>
      </c>
      <c r="D5" s="3" t="str">
        <f t="shared" si="0"/>
        <v>Hand Sanitizer</v>
      </c>
      <c r="E5" s="3" t="s">
        <v>25</v>
      </c>
      <c r="F5" s="5">
        <v>3</v>
      </c>
      <c r="G5" s="5">
        <v>5000</v>
      </c>
      <c r="H5" s="5" t="s">
        <v>14</v>
      </c>
      <c r="I5" s="5" t="s">
        <v>26</v>
      </c>
      <c r="J5" s="5" t="s">
        <v>16</v>
      </c>
      <c r="K5" s="17">
        <f t="shared" si="1"/>
        <v>20000</v>
      </c>
      <c r="L5" s="17">
        <f t="shared" si="2"/>
        <v>100000000</v>
      </c>
    </row>
    <row r="6" spans="1:16" ht="14.25" customHeight="1" x14ac:dyDescent="0.25">
      <c r="A6" s="3">
        <v>5</v>
      </c>
      <c r="B6" s="4">
        <v>45660</v>
      </c>
      <c r="C6" s="3" t="s">
        <v>27</v>
      </c>
      <c r="D6" s="3" t="str">
        <f t="shared" si="0"/>
        <v>Night Cream</v>
      </c>
      <c r="E6" s="3" t="s">
        <v>28</v>
      </c>
      <c r="F6" s="5">
        <v>2</v>
      </c>
      <c r="G6" s="5">
        <v>1500</v>
      </c>
      <c r="H6" s="5" t="s">
        <v>14</v>
      </c>
      <c r="I6" s="5" t="s">
        <v>29</v>
      </c>
      <c r="J6" s="5" t="s">
        <v>16</v>
      </c>
      <c r="K6" s="17">
        <f t="shared" si="1"/>
        <v>85000</v>
      </c>
      <c r="L6" s="17">
        <f t="shared" si="2"/>
        <v>127500000</v>
      </c>
    </row>
    <row r="7" spans="1:16" ht="14.25" customHeight="1" x14ac:dyDescent="0.25">
      <c r="A7" s="3">
        <v>6</v>
      </c>
      <c r="B7" s="4">
        <v>45660</v>
      </c>
      <c r="C7" s="3" t="s">
        <v>30</v>
      </c>
      <c r="D7" s="3" t="str">
        <f t="shared" si="0"/>
        <v>Day Cream</v>
      </c>
      <c r="E7" s="3" t="s">
        <v>31</v>
      </c>
      <c r="F7" s="5">
        <v>1</v>
      </c>
      <c r="G7" s="5">
        <v>1700</v>
      </c>
      <c r="H7" s="5" t="s">
        <v>14</v>
      </c>
      <c r="I7" s="5" t="s">
        <v>15</v>
      </c>
      <c r="J7" s="5" t="s">
        <v>23</v>
      </c>
      <c r="K7" s="17">
        <f t="shared" si="1"/>
        <v>80000</v>
      </c>
      <c r="L7" s="17">
        <f t="shared" si="2"/>
        <v>136000000</v>
      </c>
    </row>
    <row r="8" spans="1:16" ht="14.25" customHeight="1" x14ac:dyDescent="0.25">
      <c r="A8" s="3">
        <v>7</v>
      </c>
      <c r="B8" s="4">
        <v>45661</v>
      </c>
      <c r="C8" s="3" t="s">
        <v>17</v>
      </c>
      <c r="D8" s="3" t="str">
        <f t="shared" si="0"/>
        <v>Face Wash</v>
      </c>
      <c r="E8" s="3" t="s">
        <v>32</v>
      </c>
      <c r="F8" s="5">
        <v>1</v>
      </c>
      <c r="G8" s="5">
        <v>2400</v>
      </c>
      <c r="H8" s="5" t="s">
        <v>14</v>
      </c>
      <c r="I8" s="5" t="s">
        <v>19</v>
      </c>
      <c r="J8" s="5" t="s">
        <v>16</v>
      </c>
      <c r="K8" s="17">
        <f t="shared" si="1"/>
        <v>30000</v>
      </c>
      <c r="L8" s="17">
        <f t="shared" si="2"/>
        <v>72000000</v>
      </c>
    </row>
    <row r="9" spans="1:16" x14ac:dyDescent="0.25">
      <c r="A9" s="3">
        <v>8</v>
      </c>
      <c r="B9" s="4">
        <v>45661</v>
      </c>
      <c r="C9" s="3" t="s">
        <v>33</v>
      </c>
      <c r="D9" s="3" t="str">
        <f t="shared" si="0"/>
        <v>Body Lotion</v>
      </c>
      <c r="E9" s="3" t="s">
        <v>34</v>
      </c>
      <c r="F9" s="5">
        <v>2</v>
      </c>
      <c r="G9" s="5">
        <v>3000</v>
      </c>
      <c r="H9" s="5" t="s">
        <v>14</v>
      </c>
      <c r="I9" s="5" t="s">
        <v>22</v>
      </c>
      <c r="J9" s="5" t="s">
        <v>16</v>
      </c>
      <c r="K9" s="17">
        <f t="shared" si="1"/>
        <v>50000</v>
      </c>
      <c r="L9" s="17">
        <f t="shared" si="2"/>
        <v>150000000</v>
      </c>
      <c r="N9" s="1" t="s">
        <v>2</v>
      </c>
      <c r="O9" s="1" t="s">
        <v>35</v>
      </c>
      <c r="P9" s="1" t="s">
        <v>36</v>
      </c>
    </row>
    <row r="10" spans="1:16" ht="14.25" customHeight="1" x14ac:dyDescent="0.25">
      <c r="A10" s="3">
        <v>9</v>
      </c>
      <c r="B10" s="4">
        <v>45661</v>
      </c>
      <c r="C10" s="3" t="s">
        <v>37</v>
      </c>
      <c r="D10" s="3" t="str">
        <f t="shared" si="0"/>
        <v>Shampoo Herbal</v>
      </c>
      <c r="E10" s="3" t="s">
        <v>38</v>
      </c>
      <c r="F10" s="5">
        <v>3</v>
      </c>
      <c r="G10" s="5">
        <v>2700</v>
      </c>
      <c r="H10" s="5" t="s">
        <v>14</v>
      </c>
      <c r="I10" s="5" t="s">
        <v>26</v>
      </c>
      <c r="J10" s="5" t="s">
        <v>16</v>
      </c>
      <c r="K10" s="17">
        <f t="shared" si="1"/>
        <v>55000</v>
      </c>
      <c r="L10" s="17">
        <f t="shared" si="2"/>
        <v>148500000</v>
      </c>
      <c r="N10" s="3" t="s">
        <v>12</v>
      </c>
      <c r="O10" s="3" t="s">
        <v>39</v>
      </c>
      <c r="P10" s="7">
        <v>45000</v>
      </c>
    </row>
    <row r="11" spans="1:16" ht="14.25" customHeight="1" x14ac:dyDescent="0.25">
      <c r="A11" s="3">
        <v>10</v>
      </c>
      <c r="B11" s="4">
        <v>45662</v>
      </c>
      <c r="C11" s="3" t="s">
        <v>12</v>
      </c>
      <c r="D11" s="3" t="str">
        <f t="shared" si="0"/>
        <v>Lipstick Matte</v>
      </c>
      <c r="E11" s="3" t="s">
        <v>40</v>
      </c>
      <c r="F11" s="5">
        <v>2</v>
      </c>
      <c r="G11" s="5">
        <v>1100</v>
      </c>
      <c r="H11" s="5" t="s">
        <v>14</v>
      </c>
      <c r="I11" s="5" t="s">
        <v>29</v>
      </c>
      <c r="J11" s="5" t="s">
        <v>23</v>
      </c>
      <c r="K11" s="17">
        <f t="shared" si="1"/>
        <v>45000</v>
      </c>
      <c r="L11" s="17">
        <f t="shared" si="2"/>
        <v>49500000</v>
      </c>
      <c r="N11" s="3" t="s">
        <v>17</v>
      </c>
      <c r="O11" s="3" t="s">
        <v>41</v>
      </c>
      <c r="P11" s="7">
        <v>30000</v>
      </c>
    </row>
    <row r="12" spans="1:16" ht="14.25" customHeight="1" x14ac:dyDescent="0.25">
      <c r="A12" s="3">
        <v>11</v>
      </c>
      <c r="B12" s="4">
        <v>45662</v>
      </c>
      <c r="C12" s="3" t="s">
        <v>42</v>
      </c>
      <c r="D12" s="3" t="str">
        <f t="shared" si="0"/>
        <v>Conditioner</v>
      </c>
      <c r="E12" s="3" t="s">
        <v>43</v>
      </c>
      <c r="F12" s="5">
        <v>1</v>
      </c>
      <c r="G12" s="5">
        <v>2200</v>
      </c>
      <c r="H12" s="5" t="s">
        <v>14</v>
      </c>
      <c r="I12" s="5" t="s">
        <v>15</v>
      </c>
      <c r="J12" s="5" t="s">
        <v>16</v>
      </c>
      <c r="K12" s="17">
        <f t="shared" si="1"/>
        <v>40000</v>
      </c>
      <c r="L12" s="17">
        <f t="shared" si="2"/>
        <v>88000000</v>
      </c>
      <c r="N12" s="3" t="s">
        <v>20</v>
      </c>
      <c r="O12" s="3" t="s">
        <v>44</v>
      </c>
      <c r="P12" s="7">
        <v>75000</v>
      </c>
    </row>
    <row r="13" spans="1:16" ht="14.25" customHeight="1" x14ac:dyDescent="0.25">
      <c r="A13" s="3">
        <v>12</v>
      </c>
      <c r="B13" s="4">
        <v>45662</v>
      </c>
      <c r="C13" s="3" t="s">
        <v>45</v>
      </c>
      <c r="D13" s="3" t="str">
        <f t="shared" si="0"/>
        <v>Sunscreen SPF30</v>
      </c>
      <c r="E13" s="3" t="s">
        <v>46</v>
      </c>
      <c r="F13" s="5">
        <v>2</v>
      </c>
      <c r="G13" s="5">
        <v>1900</v>
      </c>
      <c r="H13" s="5" t="s">
        <v>14</v>
      </c>
      <c r="I13" s="5" t="s">
        <v>19</v>
      </c>
      <c r="J13" s="5" t="s">
        <v>16</v>
      </c>
      <c r="K13" s="17">
        <f t="shared" si="1"/>
        <v>70000</v>
      </c>
      <c r="L13" s="17">
        <f t="shared" si="2"/>
        <v>133000000</v>
      </c>
      <c r="N13" s="3" t="s">
        <v>24</v>
      </c>
      <c r="O13" s="3" t="s">
        <v>47</v>
      </c>
      <c r="P13" s="7">
        <v>20000</v>
      </c>
    </row>
    <row r="14" spans="1:16" ht="14.25" customHeight="1" x14ac:dyDescent="0.25">
      <c r="A14" s="3">
        <v>13</v>
      </c>
      <c r="B14" s="4">
        <v>45663</v>
      </c>
      <c r="C14" s="3" t="s">
        <v>48</v>
      </c>
      <c r="D14" s="3" t="str">
        <f t="shared" si="0"/>
        <v>Hair Serum</v>
      </c>
      <c r="E14" s="3" t="s">
        <v>49</v>
      </c>
      <c r="F14" s="5">
        <v>3</v>
      </c>
      <c r="G14" s="5">
        <v>2100</v>
      </c>
      <c r="H14" s="5" t="s">
        <v>14</v>
      </c>
      <c r="I14" s="5" t="s">
        <v>22</v>
      </c>
      <c r="J14" s="5" t="s">
        <v>16</v>
      </c>
      <c r="K14" s="17">
        <f t="shared" si="1"/>
        <v>65000</v>
      </c>
      <c r="L14" s="17">
        <f t="shared" si="2"/>
        <v>136500000</v>
      </c>
      <c r="N14" s="3" t="s">
        <v>27</v>
      </c>
      <c r="O14" s="3" t="s">
        <v>50</v>
      </c>
      <c r="P14" s="7">
        <v>85000</v>
      </c>
    </row>
    <row r="15" spans="1:16" ht="14.25" customHeight="1" x14ac:dyDescent="0.25">
      <c r="A15" s="3">
        <v>14</v>
      </c>
      <c r="B15" s="4">
        <v>45663</v>
      </c>
      <c r="C15" s="3" t="s">
        <v>20</v>
      </c>
      <c r="D15" s="3" t="str">
        <f t="shared" si="0"/>
        <v>Serum Vitamin C</v>
      </c>
      <c r="E15" s="3" t="s">
        <v>51</v>
      </c>
      <c r="F15" s="5">
        <v>1</v>
      </c>
      <c r="G15" s="5">
        <v>1600</v>
      </c>
      <c r="H15" s="5" t="s">
        <v>14</v>
      </c>
      <c r="I15" s="5" t="s">
        <v>26</v>
      </c>
      <c r="J15" s="5" t="s">
        <v>23</v>
      </c>
      <c r="K15" s="17">
        <f t="shared" si="1"/>
        <v>75000</v>
      </c>
      <c r="L15" s="17">
        <f t="shared" si="2"/>
        <v>120000000</v>
      </c>
      <c r="N15" s="3" t="s">
        <v>30</v>
      </c>
      <c r="O15" s="3" t="s">
        <v>52</v>
      </c>
      <c r="P15" s="7">
        <v>80000</v>
      </c>
    </row>
    <row r="16" spans="1:16" ht="14.25" customHeight="1" x14ac:dyDescent="0.25">
      <c r="A16" s="3">
        <v>15</v>
      </c>
      <c r="B16" s="4">
        <v>45663</v>
      </c>
      <c r="C16" s="3" t="s">
        <v>24</v>
      </c>
      <c r="D16" s="3" t="str">
        <f t="shared" si="0"/>
        <v>Hand Sanitizer</v>
      </c>
      <c r="E16" s="3" t="s">
        <v>53</v>
      </c>
      <c r="F16" s="5">
        <v>2</v>
      </c>
      <c r="G16" s="5">
        <v>5200</v>
      </c>
      <c r="H16" s="5" t="s">
        <v>14</v>
      </c>
      <c r="I16" s="5" t="s">
        <v>29</v>
      </c>
      <c r="J16" s="5" t="s">
        <v>16</v>
      </c>
      <c r="K16" s="17">
        <f t="shared" si="1"/>
        <v>20000</v>
      </c>
      <c r="L16" s="17">
        <f t="shared" si="2"/>
        <v>104000000</v>
      </c>
      <c r="N16" s="3" t="s">
        <v>33</v>
      </c>
      <c r="O16" s="3" t="s">
        <v>54</v>
      </c>
      <c r="P16" s="7">
        <v>50000</v>
      </c>
    </row>
    <row r="17" spans="1:16" ht="14.25" customHeight="1" x14ac:dyDescent="0.25">
      <c r="A17" s="3">
        <v>16</v>
      </c>
      <c r="B17" s="4">
        <v>45664</v>
      </c>
      <c r="C17" s="3" t="s">
        <v>30</v>
      </c>
      <c r="D17" s="3" t="str">
        <f t="shared" si="0"/>
        <v>Day Cream</v>
      </c>
      <c r="E17" s="3" t="s">
        <v>55</v>
      </c>
      <c r="F17" s="5">
        <v>1</v>
      </c>
      <c r="G17" s="5">
        <v>1800</v>
      </c>
      <c r="H17" s="5" t="s">
        <v>14</v>
      </c>
      <c r="I17" s="5" t="s">
        <v>15</v>
      </c>
      <c r="J17" s="5" t="s">
        <v>16</v>
      </c>
      <c r="K17" s="17">
        <f t="shared" si="1"/>
        <v>80000</v>
      </c>
      <c r="L17" s="17">
        <f t="shared" si="2"/>
        <v>144000000</v>
      </c>
      <c r="N17" s="3" t="s">
        <v>37</v>
      </c>
      <c r="O17" s="3" t="s">
        <v>56</v>
      </c>
      <c r="P17" s="7">
        <v>55000</v>
      </c>
    </row>
    <row r="18" spans="1:16" ht="14.25" customHeight="1" x14ac:dyDescent="0.25">
      <c r="A18" s="3">
        <v>17</v>
      </c>
      <c r="B18" s="4">
        <v>45664</v>
      </c>
      <c r="C18" s="3" t="s">
        <v>57</v>
      </c>
      <c r="D18" s="3" t="str">
        <f t="shared" si="0"/>
        <v>Eye Shadow</v>
      </c>
      <c r="E18" s="3" t="s">
        <v>58</v>
      </c>
      <c r="F18" s="5">
        <v>2</v>
      </c>
      <c r="G18" s="5">
        <v>1400</v>
      </c>
      <c r="H18" s="5" t="s">
        <v>14</v>
      </c>
      <c r="I18" s="5" t="s">
        <v>19</v>
      </c>
      <c r="J18" s="5" t="s">
        <v>16</v>
      </c>
      <c r="K18" s="17">
        <f t="shared" si="1"/>
        <v>60000</v>
      </c>
      <c r="L18" s="17">
        <f t="shared" si="2"/>
        <v>84000000</v>
      </c>
      <c r="N18" s="3" t="s">
        <v>42</v>
      </c>
      <c r="O18" s="3" t="s">
        <v>59</v>
      </c>
      <c r="P18" s="7">
        <v>40000</v>
      </c>
    </row>
    <row r="19" spans="1:16" ht="14.25" customHeight="1" x14ac:dyDescent="0.25">
      <c r="A19" s="3">
        <v>18</v>
      </c>
      <c r="B19" s="4">
        <v>45664</v>
      </c>
      <c r="C19" s="3" t="s">
        <v>60</v>
      </c>
      <c r="D19" s="3" t="str">
        <f t="shared" si="0"/>
        <v>Toner Bright</v>
      </c>
      <c r="E19" s="3" t="s">
        <v>61</v>
      </c>
      <c r="F19" s="5">
        <v>3</v>
      </c>
      <c r="G19" s="5">
        <v>2000</v>
      </c>
      <c r="H19" s="5" t="s">
        <v>14</v>
      </c>
      <c r="I19" s="5" t="s">
        <v>22</v>
      </c>
      <c r="J19" s="5" t="s">
        <v>16</v>
      </c>
      <c r="K19" s="17">
        <f t="shared" si="1"/>
        <v>45000</v>
      </c>
      <c r="L19" s="17">
        <f t="shared" si="2"/>
        <v>90000000</v>
      </c>
      <c r="N19" s="3" t="s">
        <v>45</v>
      </c>
      <c r="O19" s="3" t="s">
        <v>62</v>
      </c>
      <c r="P19" s="7">
        <v>70000</v>
      </c>
    </row>
    <row r="20" spans="1:16" ht="14.25" customHeight="1" x14ac:dyDescent="0.25">
      <c r="A20" s="3">
        <v>19</v>
      </c>
      <c r="B20" s="4">
        <v>45665</v>
      </c>
      <c r="C20" s="3" t="s">
        <v>33</v>
      </c>
      <c r="D20" s="3" t="str">
        <f t="shared" si="0"/>
        <v>Body Lotion</v>
      </c>
      <c r="E20" s="3" t="s">
        <v>63</v>
      </c>
      <c r="F20" s="5">
        <v>1</v>
      </c>
      <c r="G20" s="5">
        <v>3200</v>
      </c>
      <c r="H20" s="5" t="s">
        <v>14</v>
      </c>
      <c r="I20" s="5" t="s">
        <v>26</v>
      </c>
      <c r="J20" s="5" t="s">
        <v>23</v>
      </c>
      <c r="K20" s="17">
        <f t="shared" si="1"/>
        <v>50000</v>
      </c>
      <c r="L20" s="17">
        <f t="shared" si="2"/>
        <v>160000000</v>
      </c>
      <c r="N20" s="3" t="s">
        <v>48</v>
      </c>
      <c r="O20" s="3" t="s">
        <v>64</v>
      </c>
      <c r="P20" s="7">
        <v>65000</v>
      </c>
    </row>
    <row r="21" spans="1:16" ht="14.25" customHeight="1" x14ac:dyDescent="0.25">
      <c r="A21" s="3">
        <v>20</v>
      </c>
      <c r="B21" s="4">
        <v>45665</v>
      </c>
      <c r="C21" s="3" t="s">
        <v>12</v>
      </c>
      <c r="D21" s="3" t="str">
        <f t="shared" si="0"/>
        <v>Lipstick Matte</v>
      </c>
      <c r="E21" s="3" t="s">
        <v>65</v>
      </c>
      <c r="F21" s="5">
        <v>2</v>
      </c>
      <c r="G21" s="5">
        <v>1250</v>
      </c>
      <c r="H21" s="5" t="s">
        <v>14</v>
      </c>
      <c r="I21" s="5" t="s">
        <v>29</v>
      </c>
      <c r="J21" s="5" t="s">
        <v>16</v>
      </c>
      <c r="K21" s="17">
        <f t="shared" si="1"/>
        <v>45000</v>
      </c>
      <c r="L21" s="17">
        <f t="shared" si="2"/>
        <v>56250000</v>
      </c>
      <c r="N21" s="3" t="s">
        <v>57</v>
      </c>
      <c r="O21" s="3" t="s">
        <v>66</v>
      </c>
      <c r="P21" s="7">
        <v>60000</v>
      </c>
    </row>
    <row r="22" spans="1:16" ht="14.25" customHeight="1" x14ac:dyDescent="0.25">
      <c r="A22" s="3">
        <v>21</v>
      </c>
      <c r="B22" s="4">
        <v>45665</v>
      </c>
      <c r="C22" s="3" t="s">
        <v>45</v>
      </c>
      <c r="D22" s="3" t="str">
        <f t="shared" si="0"/>
        <v>Sunscreen SPF30</v>
      </c>
      <c r="E22" s="3" t="s">
        <v>67</v>
      </c>
      <c r="F22" s="5">
        <v>1</v>
      </c>
      <c r="G22" s="5">
        <v>2100</v>
      </c>
      <c r="H22" s="5" t="s">
        <v>14</v>
      </c>
      <c r="I22" s="5" t="s">
        <v>15</v>
      </c>
      <c r="J22" s="5" t="s">
        <v>16</v>
      </c>
      <c r="K22" s="17">
        <f t="shared" si="1"/>
        <v>70000</v>
      </c>
      <c r="L22" s="17">
        <f t="shared" si="2"/>
        <v>147000000</v>
      </c>
      <c r="N22" s="3" t="s">
        <v>60</v>
      </c>
      <c r="O22" s="3" t="s">
        <v>68</v>
      </c>
      <c r="P22" s="7">
        <v>45000</v>
      </c>
    </row>
    <row r="23" spans="1:16" ht="14.25" customHeight="1" x14ac:dyDescent="0.25">
      <c r="A23" s="3">
        <v>22</v>
      </c>
      <c r="B23" s="4">
        <v>45666</v>
      </c>
      <c r="C23" s="3" t="s">
        <v>37</v>
      </c>
      <c r="D23" s="3" t="str">
        <f t="shared" si="0"/>
        <v>Shampoo Herbal</v>
      </c>
      <c r="E23" s="3" t="s">
        <v>69</v>
      </c>
      <c r="F23" s="5">
        <v>2</v>
      </c>
      <c r="G23" s="5">
        <v>2800</v>
      </c>
      <c r="H23" s="5" t="s">
        <v>14</v>
      </c>
      <c r="I23" s="5" t="s">
        <v>19</v>
      </c>
      <c r="J23" s="5" t="s">
        <v>23</v>
      </c>
      <c r="K23" s="17">
        <f t="shared" si="1"/>
        <v>55000</v>
      </c>
      <c r="L23" s="17">
        <f t="shared" si="2"/>
        <v>154000000</v>
      </c>
      <c r="N23" s="3" t="s">
        <v>70</v>
      </c>
      <c r="O23" s="3" t="s">
        <v>71</v>
      </c>
      <c r="P23" s="7">
        <v>55000</v>
      </c>
    </row>
    <row r="24" spans="1:16" ht="14.25" customHeight="1" x14ac:dyDescent="0.25">
      <c r="A24" s="3">
        <v>23</v>
      </c>
      <c r="B24" s="4">
        <v>45666</v>
      </c>
      <c r="C24" s="3" t="s">
        <v>70</v>
      </c>
      <c r="D24" s="3" t="str">
        <f t="shared" si="0"/>
        <v>Compact Powder</v>
      </c>
      <c r="E24" s="3" t="s">
        <v>72</v>
      </c>
      <c r="F24" s="5">
        <v>3</v>
      </c>
      <c r="G24" s="5">
        <v>1500</v>
      </c>
      <c r="H24" s="5" t="s">
        <v>14</v>
      </c>
      <c r="I24" s="5" t="s">
        <v>22</v>
      </c>
      <c r="J24" s="5" t="s">
        <v>16</v>
      </c>
      <c r="K24" s="17">
        <f t="shared" si="1"/>
        <v>55000</v>
      </c>
      <c r="L24" s="17">
        <f t="shared" si="2"/>
        <v>82500000</v>
      </c>
    </row>
    <row r="25" spans="1:16" ht="14.25" customHeight="1" x14ac:dyDescent="0.25">
      <c r="A25" s="3">
        <v>24</v>
      </c>
      <c r="B25" s="4">
        <v>45666</v>
      </c>
      <c r="C25" s="3" t="s">
        <v>27</v>
      </c>
      <c r="D25" s="3" t="str">
        <f t="shared" si="0"/>
        <v>Night Cream</v>
      </c>
      <c r="E25" s="3" t="s">
        <v>73</v>
      </c>
      <c r="F25" s="5">
        <v>1</v>
      </c>
      <c r="G25" s="5">
        <v>1550</v>
      </c>
      <c r="H25" s="5" t="s">
        <v>14</v>
      </c>
      <c r="I25" s="5" t="s">
        <v>26</v>
      </c>
      <c r="J25" s="5" t="s">
        <v>16</v>
      </c>
      <c r="K25" s="17">
        <f t="shared" si="1"/>
        <v>85000</v>
      </c>
      <c r="L25" s="17">
        <f t="shared" si="2"/>
        <v>131750000</v>
      </c>
    </row>
    <row r="26" spans="1:16" ht="14.25" customHeight="1" x14ac:dyDescent="0.25">
      <c r="A26" s="3">
        <v>25</v>
      </c>
      <c r="B26" s="4">
        <v>45667</v>
      </c>
      <c r="C26" s="3" t="s">
        <v>57</v>
      </c>
      <c r="D26" s="3" t="str">
        <f t="shared" si="0"/>
        <v>Eye Shadow</v>
      </c>
      <c r="E26" s="3" t="s">
        <v>74</v>
      </c>
      <c r="F26" s="5">
        <v>2</v>
      </c>
      <c r="G26" s="5">
        <v>1350</v>
      </c>
      <c r="H26" s="5" t="s">
        <v>14</v>
      </c>
      <c r="I26" s="5" t="s">
        <v>29</v>
      </c>
      <c r="J26" s="5" t="s">
        <v>23</v>
      </c>
      <c r="K26" s="17">
        <f t="shared" si="1"/>
        <v>60000</v>
      </c>
      <c r="L26" s="17">
        <f t="shared" si="2"/>
        <v>81000000</v>
      </c>
    </row>
    <row r="27" spans="1:16" ht="14.25" customHeight="1" x14ac:dyDescent="0.25">
      <c r="A27" s="3">
        <v>26</v>
      </c>
      <c r="B27" s="4">
        <v>45667</v>
      </c>
      <c r="C27" s="3" t="s">
        <v>60</v>
      </c>
      <c r="D27" s="3" t="str">
        <f t="shared" si="0"/>
        <v>Toner Bright</v>
      </c>
      <c r="E27" s="3" t="s">
        <v>75</v>
      </c>
      <c r="F27" s="5">
        <v>1</v>
      </c>
      <c r="G27" s="5">
        <v>2100</v>
      </c>
      <c r="H27" s="5" t="s">
        <v>14</v>
      </c>
      <c r="I27" s="5" t="s">
        <v>15</v>
      </c>
      <c r="J27" s="5" t="s">
        <v>16</v>
      </c>
      <c r="K27" s="17">
        <f t="shared" si="1"/>
        <v>45000</v>
      </c>
      <c r="L27" s="17">
        <f t="shared" si="2"/>
        <v>94500000</v>
      </c>
    </row>
    <row r="28" spans="1:16" ht="14.25" customHeight="1" x14ac:dyDescent="0.25">
      <c r="A28" s="3">
        <v>27</v>
      </c>
      <c r="B28" s="4">
        <v>45667</v>
      </c>
      <c r="C28" s="3" t="s">
        <v>48</v>
      </c>
      <c r="D28" s="3" t="str">
        <f t="shared" si="0"/>
        <v>Hair Serum</v>
      </c>
      <c r="E28" s="3" t="s">
        <v>76</v>
      </c>
      <c r="F28" s="5">
        <v>3</v>
      </c>
      <c r="G28" s="5">
        <v>2200</v>
      </c>
      <c r="H28" s="5" t="s">
        <v>14</v>
      </c>
      <c r="I28" s="5" t="s">
        <v>19</v>
      </c>
      <c r="J28" s="5" t="s">
        <v>16</v>
      </c>
      <c r="K28" s="17">
        <f t="shared" si="1"/>
        <v>65000</v>
      </c>
      <c r="L28" s="17">
        <f t="shared" si="2"/>
        <v>143000000</v>
      </c>
    </row>
    <row r="29" spans="1:16" ht="14.25" customHeight="1" x14ac:dyDescent="0.25">
      <c r="A29" s="3">
        <v>28</v>
      </c>
      <c r="B29" s="4">
        <v>45668</v>
      </c>
      <c r="C29" s="3" t="s">
        <v>17</v>
      </c>
      <c r="D29" s="3" t="str">
        <f t="shared" si="0"/>
        <v>Face Wash</v>
      </c>
      <c r="E29" s="3" t="s">
        <v>77</v>
      </c>
      <c r="F29" s="5">
        <v>2</v>
      </c>
      <c r="G29" s="5">
        <v>2450</v>
      </c>
      <c r="H29" s="5" t="s">
        <v>14</v>
      </c>
      <c r="I29" s="5" t="s">
        <v>22</v>
      </c>
      <c r="J29" s="5" t="s">
        <v>23</v>
      </c>
      <c r="K29" s="17">
        <f t="shared" si="1"/>
        <v>30000</v>
      </c>
      <c r="L29" s="17">
        <f t="shared" si="2"/>
        <v>73500000</v>
      </c>
    </row>
    <row r="30" spans="1:16" ht="14.25" customHeight="1" x14ac:dyDescent="0.25">
      <c r="A30" s="3">
        <v>29</v>
      </c>
      <c r="B30" s="4">
        <v>45668</v>
      </c>
      <c r="C30" s="3" t="s">
        <v>24</v>
      </c>
      <c r="D30" s="3" t="str">
        <f t="shared" si="0"/>
        <v>Hand Sanitizer</v>
      </c>
      <c r="E30" s="3" t="s">
        <v>78</v>
      </c>
      <c r="F30" s="5">
        <v>1</v>
      </c>
      <c r="G30" s="5">
        <v>5100</v>
      </c>
      <c r="H30" s="5" t="s">
        <v>14</v>
      </c>
      <c r="I30" s="5" t="s">
        <v>26</v>
      </c>
      <c r="J30" s="5" t="s">
        <v>16</v>
      </c>
      <c r="K30" s="17">
        <f t="shared" si="1"/>
        <v>20000</v>
      </c>
      <c r="L30" s="17">
        <f t="shared" si="2"/>
        <v>102000000</v>
      </c>
    </row>
    <row r="31" spans="1:16" ht="14.25" customHeight="1" x14ac:dyDescent="0.25">
      <c r="A31" s="3">
        <v>30</v>
      </c>
      <c r="B31" s="4">
        <v>45668</v>
      </c>
      <c r="C31" s="3" t="s">
        <v>42</v>
      </c>
      <c r="D31" s="3" t="str">
        <f t="shared" si="0"/>
        <v>Conditioner</v>
      </c>
      <c r="E31" s="3" t="s">
        <v>79</v>
      </c>
      <c r="F31" s="5">
        <v>2</v>
      </c>
      <c r="G31" s="5">
        <v>2150</v>
      </c>
      <c r="H31" s="5" t="s">
        <v>14</v>
      </c>
      <c r="I31" s="5" t="s">
        <v>29</v>
      </c>
      <c r="J31" s="5" t="s">
        <v>16</v>
      </c>
      <c r="K31" s="17">
        <f t="shared" si="1"/>
        <v>40000</v>
      </c>
      <c r="L31" s="17">
        <f t="shared" si="2"/>
        <v>86000000</v>
      </c>
    </row>
    <row r="32" spans="1:16" ht="14.25" customHeight="1" x14ac:dyDescent="0.25">
      <c r="A32" s="3">
        <v>31</v>
      </c>
      <c r="B32" s="4">
        <v>45669</v>
      </c>
      <c r="C32" s="3" t="s">
        <v>30</v>
      </c>
      <c r="D32" s="3" t="str">
        <f t="shared" si="0"/>
        <v>Day Cream</v>
      </c>
      <c r="E32" s="3" t="s">
        <v>80</v>
      </c>
      <c r="F32" s="5">
        <v>1</v>
      </c>
      <c r="G32" s="5">
        <v>1750</v>
      </c>
      <c r="H32" s="5" t="s">
        <v>14</v>
      </c>
      <c r="I32" s="5" t="s">
        <v>15</v>
      </c>
      <c r="J32" s="5" t="s">
        <v>16</v>
      </c>
      <c r="K32" s="17">
        <f t="shared" si="1"/>
        <v>80000</v>
      </c>
      <c r="L32" s="17">
        <f t="shared" si="2"/>
        <v>140000000</v>
      </c>
    </row>
    <row r="33" spans="1:12" ht="14.25" customHeight="1" x14ac:dyDescent="0.25">
      <c r="A33" s="3">
        <v>32</v>
      </c>
      <c r="B33" s="4">
        <v>45669</v>
      </c>
      <c r="C33" s="3" t="s">
        <v>70</v>
      </c>
      <c r="D33" s="3" t="str">
        <f t="shared" si="0"/>
        <v>Compact Powder</v>
      </c>
      <c r="E33" s="3" t="s">
        <v>81</v>
      </c>
      <c r="F33" s="5">
        <v>3</v>
      </c>
      <c r="G33" s="5">
        <v>1600</v>
      </c>
      <c r="H33" s="5" t="s">
        <v>14</v>
      </c>
      <c r="I33" s="5" t="s">
        <v>19</v>
      </c>
      <c r="J33" s="5" t="s">
        <v>23</v>
      </c>
      <c r="K33" s="17">
        <f t="shared" si="1"/>
        <v>55000</v>
      </c>
      <c r="L33" s="17">
        <f t="shared" si="2"/>
        <v>88000000</v>
      </c>
    </row>
    <row r="34" spans="1:12" ht="14.25" customHeight="1" x14ac:dyDescent="0.25">
      <c r="A34" s="3">
        <v>33</v>
      </c>
      <c r="B34" s="4">
        <v>45669</v>
      </c>
      <c r="C34" s="3" t="s">
        <v>33</v>
      </c>
      <c r="D34" s="3" t="str">
        <f t="shared" si="0"/>
        <v>Body Lotion</v>
      </c>
      <c r="E34" s="3" t="s">
        <v>82</v>
      </c>
      <c r="F34" s="5">
        <v>2</v>
      </c>
      <c r="G34" s="5">
        <v>3100</v>
      </c>
      <c r="H34" s="5" t="s">
        <v>14</v>
      </c>
      <c r="I34" s="5" t="s">
        <v>22</v>
      </c>
      <c r="J34" s="5" t="s">
        <v>16</v>
      </c>
      <c r="K34" s="17">
        <f t="shared" si="1"/>
        <v>50000</v>
      </c>
      <c r="L34" s="17">
        <f t="shared" si="2"/>
        <v>155000000</v>
      </c>
    </row>
    <row r="35" spans="1:12" ht="14.25" customHeight="1" x14ac:dyDescent="0.25">
      <c r="A35" s="3">
        <v>34</v>
      </c>
      <c r="B35" s="4">
        <v>45670</v>
      </c>
      <c r="C35" s="3" t="s">
        <v>12</v>
      </c>
      <c r="D35" s="3" t="str">
        <f t="shared" si="0"/>
        <v>Lipstick Matte</v>
      </c>
      <c r="E35" s="3" t="s">
        <v>83</v>
      </c>
      <c r="F35" s="5">
        <v>1</v>
      </c>
      <c r="G35" s="5">
        <v>1300</v>
      </c>
      <c r="H35" s="5" t="s">
        <v>14</v>
      </c>
      <c r="I35" s="5" t="s">
        <v>26</v>
      </c>
      <c r="J35" s="5" t="s">
        <v>16</v>
      </c>
      <c r="K35" s="17">
        <f t="shared" si="1"/>
        <v>45000</v>
      </c>
      <c r="L35" s="17">
        <f t="shared" si="2"/>
        <v>58500000</v>
      </c>
    </row>
    <row r="36" spans="1:12" ht="14.25" customHeight="1" x14ac:dyDescent="0.25">
      <c r="A36" s="3">
        <v>35</v>
      </c>
      <c r="B36" s="4">
        <v>45670</v>
      </c>
      <c r="C36" s="3" t="s">
        <v>20</v>
      </c>
      <c r="D36" s="3" t="str">
        <f t="shared" si="0"/>
        <v>Serum Vitamin C</v>
      </c>
      <c r="E36" s="3" t="s">
        <v>84</v>
      </c>
      <c r="F36" s="5">
        <v>2</v>
      </c>
      <c r="G36" s="5">
        <v>1750</v>
      </c>
      <c r="H36" s="5" t="s">
        <v>14</v>
      </c>
      <c r="I36" s="5" t="s">
        <v>29</v>
      </c>
      <c r="J36" s="5" t="s">
        <v>16</v>
      </c>
      <c r="K36" s="17">
        <f t="shared" si="1"/>
        <v>75000</v>
      </c>
      <c r="L36" s="17">
        <f t="shared" si="2"/>
        <v>131250000</v>
      </c>
    </row>
    <row r="37" spans="1:12" ht="14.25" customHeight="1" x14ac:dyDescent="0.25">
      <c r="A37" s="8"/>
      <c r="B37" s="9"/>
      <c r="C37" s="8"/>
      <c r="D37" s="8"/>
      <c r="E37" s="8"/>
      <c r="F37" s="10"/>
      <c r="G37" s="10"/>
      <c r="H37" s="10"/>
      <c r="I37" s="10"/>
      <c r="J37" s="10"/>
      <c r="K37" s="11"/>
      <c r="L37" s="11"/>
    </row>
    <row r="38" spans="1:12" ht="14.25" customHeight="1" x14ac:dyDescent="0.25">
      <c r="C38" s="10"/>
      <c r="D38" s="10"/>
      <c r="E38" s="10"/>
      <c r="F38" s="10"/>
      <c r="G38" s="10"/>
      <c r="H38" s="11"/>
      <c r="I38" s="11"/>
    </row>
    <row r="39" spans="1:12" ht="14.25" customHeight="1" x14ac:dyDescent="0.25">
      <c r="C39" s="10"/>
      <c r="D39" s="10"/>
      <c r="E39" s="10"/>
      <c r="F39" s="10"/>
      <c r="G39" s="10"/>
      <c r="H39" s="11"/>
      <c r="I39" s="11"/>
    </row>
    <row r="40" spans="1:12" ht="14.25" customHeight="1" x14ac:dyDescent="0.25">
      <c r="C40" s="10"/>
      <c r="D40" s="10"/>
      <c r="E40" s="10"/>
      <c r="F40" s="10"/>
      <c r="G40" s="10"/>
      <c r="H40" s="11"/>
      <c r="I40" s="11"/>
    </row>
    <row r="41" spans="1:12" ht="14.25" customHeight="1" x14ac:dyDescent="0.25"/>
    <row r="42" spans="1:12" ht="14.25" customHeight="1" x14ac:dyDescent="0.25"/>
    <row r="43" spans="1:12" ht="14.25" customHeight="1" x14ac:dyDescent="0.25">
      <c r="C43" s="13"/>
      <c r="D43" s="13"/>
      <c r="E43" s="13"/>
      <c r="F43" s="13"/>
      <c r="G43" s="13"/>
    </row>
    <row r="44" spans="1:12" ht="14.25" customHeight="1" x14ac:dyDescent="0.25">
      <c r="C44" s="13"/>
      <c r="D44" s="13"/>
      <c r="E44" s="13"/>
      <c r="F44" s="13"/>
      <c r="G44" s="13"/>
    </row>
    <row r="45" spans="1:12" ht="14.25" customHeight="1" x14ac:dyDescent="0.25">
      <c r="C45" s="13"/>
      <c r="D45" s="13"/>
      <c r="E45" s="13"/>
      <c r="F45" s="13"/>
      <c r="G45" s="13"/>
    </row>
    <row r="46" spans="1:12" ht="14.25" customHeight="1" x14ac:dyDescent="0.25"/>
    <row r="47" spans="1:12" ht="14.25" customHeight="1" x14ac:dyDescent="0.25"/>
    <row r="48" spans="1:12" ht="14.25" customHeight="1" x14ac:dyDescent="0.25"/>
    <row r="49" spans="1:2" ht="14.25" customHeight="1" x14ac:dyDescent="0.25"/>
    <row r="50" spans="1:2" ht="14.25" customHeight="1" x14ac:dyDescent="0.25"/>
    <row r="51" spans="1:2" ht="14.25" customHeight="1" x14ac:dyDescent="0.25"/>
    <row r="52" spans="1:2" ht="14.25" customHeight="1" x14ac:dyDescent="0.25"/>
    <row r="53" spans="1:2" ht="14.25" customHeight="1" x14ac:dyDescent="0.25"/>
    <row r="54" spans="1:2" ht="14.25" customHeight="1" x14ac:dyDescent="0.25"/>
    <row r="55" spans="1:2" ht="14.25" customHeight="1" x14ac:dyDescent="0.25"/>
    <row r="56" spans="1:2" ht="14.25" customHeight="1" x14ac:dyDescent="0.25"/>
    <row r="57" spans="1:2" ht="14.25" customHeight="1" x14ac:dyDescent="0.25"/>
    <row r="58" spans="1:2" ht="14.25" customHeight="1" x14ac:dyDescent="0.25">
      <c r="A58" s="13"/>
    </row>
    <row r="59" spans="1:2" ht="14.25" customHeight="1" x14ac:dyDescent="0.25">
      <c r="A59" s="13"/>
      <c r="B59" s="13"/>
    </row>
    <row r="60" spans="1:2" ht="14.25" customHeight="1" x14ac:dyDescent="0.25">
      <c r="A60" s="13"/>
      <c r="B60" s="13"/>
    </row>
    <row r="61" spans="1:2" ht="14.25" customHeight="1" x14ac:dyDescent="0.25"/>
    <row r="62" spans="1:2" ht="14.25" customHeight="1" x14ac:dyDescent="0.25"/>
    <row r="63" spans="1:2" ht="14.25" customHeight="1" x14ac:dyDescent="0.25"/>
    <row r="64" spans="1:2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selection activeCell="G47" sqref="G47"/>
    </sheetView>
  </sheetViews>
  <sheetFormatPr defaultColWidth="14.42578125" defaultRowHeight="15" customHeight="1" x14ac:dyDescent="0.25"/>
  <cols>
    <col min="1" max="1" width="5.85546875" customWidth="1"/>
    <col min="2" max="2" width="12.28515625" bestFit="1" customWidth="1"/>
    <col min="3" max="3" width="7.5703125" bestFit="1" customWidth="1"/>
    <col min="4" max="4" width="14.28515625" bestFit="1" customWidth="1"/>
    <col min="5" max="5" width="8" bestFit="1" customWidth="1"/>
    <col min="6" max="11" width="8.7109375" customWidth="1"/>
    <col min="12" max="12" width="9.85546875" customWidth="1"/>
    <col min="13" max="26" width="8.7109375" customWidth="1"/>
  </cols>
  <sheetData>
    <row r="1" spans="1:12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  <c r="L1" s="1" t="s">
        <v>86</v>
      </c>
    </row>
    <row r="2" spans="1:12" ht="14.25" customHeight="1" x14ac:dyDescent="0.25">
      <c r="A2" s="3">
        <v>1</v>
      </c>
      <c r="B2" s="4">
        <v>45659</v>
      </c>
      <c r="C2" s="3" t="s">
        <v>12</v>
      </c>
      <c r="D2" s="3" t="str">
        <f>HLOOKUP(C2,$B$41:$P$43,2,FALSE)</f>
        <v>Lipstick Matte</v>
      </c>
      <c r="E2" s="3" t="s">
        <v>13</v>
      </c>
      <c r="F2" s="5">
        <v>1</v>
      </c>
      <c r="G2" s="5">
        <v>1200</v>
      </c>
      <c r="H2" s="5" t="s">
        <v>14</v>
      </c>
      <c r="I2" s="5" t="s">
        <v>15</v>
      </c>
      <c r="J2" s="5" t="s">
        <v>16</v>
      </c>
      <c r="K2" s="6">
        <f t="shared" ref="K2:K36" si="0">HLOOKUP(C2,$B$41:$P$43,3,FALSE)</f>
        <v>45000</v>
      </c>
      <c r="L2" s="6">
        <f>G2*HLOOKUP(C2,$B$41:$P$43,3,FALSE)</f>
        <v>54000000</v>
      </c>
    </row>
    <row r="3" spans="1:12" ht="14.25" customHeight="1" x14ac:dyDescent="0.25">
      <c r="A3" s="3">
        <v>2</v>
      </c>
      <c r="B3" s="4">
        <v>45659</v>
      </c>
      <c r="C3" s="3" t="s">
        <v>17</v>
      </c>
      <c r="D3" s="3" t="str">
        <f t="shared" ref="D2:D36" si="1">HLOOKUP(C3,$B$41:$P$43,2,FALSE)</f>
        <v>Face Wash</v>
      </c>
      <c r="E3" s="3" t="s">
        <v>18</v>
      </c>
      <c r="F3" s="5">
        <v>1</v>
      </c>
      <c r="G3" s="5">
        <v>2500</v>
      </c>
      <c r="H3" s="5" t="s">
        <v>14</v>
      </c>
      <c r="I3" s="5" t="s">
        <v>19</v>
      </c>
      <c r="J3" s="5" t="s">
        <v>16</v>
      </c>
      <c r="K3" s="6">
        <f t="shared" si="0"/>
        <v>30000</v>
      </c>
      <c r="L3" s="6">
        <f t="shared" ref="L2:L36" si="2">G3*HLOOKUP(C3,$B$41:$P$43,3,FALSE)</f>
        <v>75000000</v>
      </c>
    </row>
    <row r="4" spans="1:12" ht="14.25" customHeight="1" x14ac:dyDescent="0.25">
      <c r="A4" s="3">
        <v>3</v>
      </c>
      <c r="B4" s="4">
        <v>45659</v>
      </c>
      <c r="C4" s="3" t="s">
        <v>20</v>
      </c>
      <c r="D4" s="3" t="str">
        <f t="shared" si="1"/>
        <v>Serum Vitamin C</v>
      </c>
      <c r="E4" s="3" t="s">
        <v>21</v>
      </c>
      <c r="F4" s="5">
        <v>2</v>
      </c>
      <c r="G4" s="5">
        <v>1800</v>
      </c>
      <c r="H4" s="5" t="s">
        <v>14</v>
      </c>
      <c r="I4" s="5" t="s">
        <v>22</v>
      </c>
      <c r="J4" s="5" t="s">
        <v>23</v>
      </c>
      <c r="K4" s="6">
        <f t="shared" si="0"/>
        <v>75000</v>
      </c>
      <c r="L4" s="6">
        <f t="shared" si="2"/>
        <v>135000000</v>
      </c>
    </row>
    <row r="5" spans="1:12" ht="14.25" customHeight="1" x14ac:dyDescent="0.25">
      <c r="A5" s="3">
        <v>4</v>
      </c>
      <c r="B5" s="4">
        <v>45660</v>
      </c>
      <c r="C5" s="3" t="s">
        <v>24</v>
      </c>
      <c r="D5" s="3" t="str">
        <f t="shared" si="1"/>
        <v>Hand Sanitizer</v>
      </c>
      <c r="E5" s="3" t="s">
        <v>25</v>
      </c>
      <c r="F5" s="5">
        <v>3</v>
      </c>
      <c r="G5" s="5">
        <v>5000</v>
      </c>
      <c r="H5" s="5" t="s">
        <v>14</v>
      </c>
      <c r="I5" s="5" t="s">
        <v>26</v>
      </c>
      <c r="J5" s="5" t="s">
        <v>16</v>
      </c>
      <c r="K5" s="6">
        <f t="shared" si="0"/>
        <v>20000</v>
      </c>
      <c r="L5" s="6">
        <f t="shared" si="2"/>
        <v>100000000</v>
      </c>
    </row>
    <row r="6" spans="1:12" ht="14.25" customHeight="1" x14ac:dyDescent="0.25">
      <c r="A6" s="3">
        <v>5</v>
      </c>
      <c r="B6" s="4">
        <v>45660</v>
      </c>
      <c r="C6" s="3" t="s">
        <v>27</v>
      </c>
      <c r="D6" s="3" t="str">
        <f t="shared" si="1"/>
        <v>Night Cream</v>
      </c>
      <c r="E6" s="3" t="s">
        <v>28</v>
      </c>
      <c r="F6" s="5">
        <v>2</v>
      </c>
      <c r="G6" s="5">
        <v>1500</v>
      </c>
      <c r="H6" s="5" t="s">
        <v>14</v>
      </c>
      <c r="I6" s="5" t="s">
        <v>29</v>
      </c>
      <c r="J6" s="5" t="s">
        <v>16</v>
      </c>
      <c r="K6" s="6">
        <f t="shared" si="0"/>
        <v>85000</v>
      </c>
      <c r="L6" s="6">
        <f t="shared" si="2"/>
        <v>127500000</v>
      </c>
    </row>
    <row r="7" spans="1:12" ht="14.25" customHeight="1" x14ac:dyDescent="0.25">
      <c r="A7" s="3">
        <v>6</v>
      </c>
      <c r="B7" s="4">
        <v>45660</v>
      </c>
      <c r="C7" s="3" t="s">
        <v>30</v>
      </c>
      <c r="D7" s="3" t="str">
        <f t="shared" si="1"/>
        <v>Day Cream</v>
      </c>
      <c r="E7" s="3" t="s">
        <v>31</v>
      </c>
      <c r="F7" s="5">
        <v>1</v>
      </c>
      <c r="G7" s="5">
        <v>1700</v>
      </c>
      <c r="H7" s="5" t="s">
        <v>14</v>
      </c>
      <c r="I7" s="5" t="s">
        <v>15</v>
      </c>
      <c r="J7" s="5" t="s">
        <v>23</v>
      </c>
      <c r="K7" s="6">
        <f t="shared" si="0"/>
        <v>80000</v>
      </c>
      <c r="L7" s="6">
        <f t="shared" si="2"/>
        <v>136000000</v>
      </c>
    </row>
    <row r="8" spans="1:12" ht="14.25" customHeight="1" x14ac:dyDescent="0.25">
      <c r="A8" s="3">
        <v>7</v>
      </c>
      <c r="B8" s="4">
        <v>45661</v>
      </c>
      <c r="C8" s="3" t="s">
        <v>17</v>
      </c>
      <c r="D8" s="3" t="str">
        <f t="shared" si="1"/>
        <v>Face Wash</v>
      </c>
      <c r="E8" s="3" t="s">
        <v>32</v>
      </c>
      <c r="F8" s="5">
        <v>1</v>
      </c>
      <c r="G8" s="5">
        <v>2400</v>
      </c>
      <c r="H8" s="5" t="s">
        <v>14</v>
      </c>
      <c r="I8" s="5" t="s">
        <v>19</v>
      </c>
      <c r="J8" s="5" t="s">
        <v>16</v>
      </c>
      <c r="K8" s="6">
        <f t="shared" si="0"/>
        <v>30000</v>
      </c>
      <c r="L8" s="6">
        <f t="shared" si="2"/>
        <v>72000000</v>
      </c>
    </row>
    <row r="9" spans="1:12" ht="14.25" customHeight="1" x14ac:dyDescent="0.25">
      <c r="A9" s="3">
        <v>8</v>
      </c>
      <c r="B9" s="4">
        <v>45661</v>
      </c>
      <c r="C9" s="3" t="s">
        <v>33</v>
      </c>
      <c r="D9" s="3" t="str">
        <f t="shared" si="1"/>
        <v>Body Lotion</v>
      </c>
      <c r="E9" s="3" t="s">
        <v>34</v>
      </c>
      <c r="F9" s="5">
        <v>2</v>
      </c>
      <c r="G9" s="5">
        <v>3000</v>
      </c>
      <c r="H9" s="5" t="s">
        <v>14</v>
      </c>
      <c r="I9" s="5" t="s">
        <v>22</v>
      </c>
      <c r="J9" s="5" t="s">
        <v>16</v>
      </c>
      <c r="K9" s="6">
        <f t="shared" si="0"/>
        <v>50000</v>
      </c>
      <c r="L9" s="6">
        <f t="shared" si="2"/>
        <v>150000000</v>
      </c>
    </row>
    <row r="10" spans="1:12" ht="14.25" customHeight="1" x14ac:dyDescent="0.25">
      <c r="A10" s="3">
        <v>9</v>
      </c>
      <c r="B10" s="4">
        <v>45661</v>
      </c>
      <c r="C10" s="3" t="s">
        <v>37</v>
      </c>
      <c r="D10" s="3" t="str">
        <f t="shared" si="1"/>
        <v>Shampoo Herbal</v>
      </c>
      <c r="E10" s="3" t="s">
        <v>38</v>
      </c>
      <c r="F10" s="5">
        <v>3</v>
      </c>
      <c r="G10" s="5">
        <v>2700</v>
      </c>
      <c r="H10" s="5" t="s">
        <v>14</v>
      </c>
      <c r="I10" s="5" t="s">
        <v>26</v>
      </c>
      <c r="J10" s="5" t="s">
        <v>16</v>
      </c>
      <c r="K10" s="6">
        <f t="shared" si="0"/>
        <v>55000</v>
      </c>
      <c r="L10" s="6">
        <f t="shared" si="2"/>
        <v>148500000</v>
      </c>
    </row>
    <row r="11" spans="1:12" ht="14.25" customHeight="1" x14ac:dyDescent="0.25">
      <c r="A11" s="3">
        <v>10</v>
      </c>
      <c r="B11" s="4">
        <v>45662</v>
      </c>
      <c r="C11" s="3" t="s">
        <v>12</v>
      </c>
      <c r="D11" s="3" t="str">
        <f t="shared" si="1"/>
        <v>Lipstick Matte</v>
      </c>
      <c r="E11" s="3" t="s">
        <v>40</v>
      </c>
      <c r="F11" s="5">
        <v>2</v>
      </c>
      <c r="G11" s="5">
        <v>1100</v>
      </c>
      <c r="H11" s="5" t="s">
        <v>14</v>
      </c>
      <c r="I11" s="5" t="s">
        <v>29</v>
      </c>
      <c r="J11" s="5" t="s">
        <v>23</v>
      </c>
      <c r="K11" s="6">
        <f t="shared" si="0"/>
        <v>45000</v>
      </c>
      <c r="L11" s="6">
        <f t="shared" si="2"/>
        <v>49500000</v>
      </c>
    </row>
    <row r="12" spans="1:12" ht="14.25" customHeight="1" x14ac:dyDescent="0.25">
      <c r="A12" s="3">
        <v>11</v>
      </c>
      <c r="B12" s="4">
        <v>45662</v>
      </c>
      <c r="C12" s="3" t="s">
        <v>42</v>
      </c>
      <c r="D12" s="3" t="str">
        <f t="shared" si="1"/>
        <v>Conditioner</v>
      </c>
      <c r="E12" s="3" t="s">
        <v>43</v>
      </c>
      <c r="F12" s="5">
        <v>1</v>
      </c>
      <c r="G12" s="5">
        <v>2200</v>
      </c>
      <c r="H12" s="5" t="s">
        <v>14</v>
      </c>
      <c r="I12" s="5" t="s">
        <v>15</v>
      </c>
      <c r="J12" s="5" t="s">
        <v>16</v>
      </c>
      <c r="K12" s="6">
        <f t="shared" si="0"/>
        <v>40000</v>
      </c>
      <c r="L12" s="6">
        <f t="shared" si="2"/>
        <v>88000000</v>
      </c>
    </row>
    <row r="13" spans="1:12" ht="14.25" customHeight="1" x14ac:dyDescent="0.25">
      <c r="A13" s="3">
        <v>12</v>
      </c>
      <c r="B13" s="4">
        <v>45662</v>
      </c>
      <c r="C13" s="3" t="s">
        <v>45</v>
      </c>
      <c r="D13" s="3" t="str">
        <f t="shared" si="1"/>
        <v>Sunscreen SPF30</v>
      </c>
      <c r="E13" s="3" t="s">
        <v>46</v>
      </c>
      <c r="F13" s="5">
        <v>2</v>
      </c>
      <c r="G13" s="5">
        <v>1900</v>
      </c>
      <c r="H13" s="5" t="s">
        <v>14</v>
      </c>
      <c r="I13" s="5" t="s">
        <v>19</v>
      </c>
      <c r="J13" s="5" t="s">
        <v>16</v>
      </c>
      <c r="K13" s="6">
        <f t="shared" si="0"/>
        <v>70000</v>
      </c>
      <c r="L13" s="6">
        <f t="shared" si="2"/>
        <v>133000000</v>
      </c>
    </row>
    <row r="14" spans="1:12" ht="14.25" customHeight="1" x14ac:dyDescent="0.25">
      <c r="A14" s="3">
        <v>13</v>
      </c>
      <c r="B14" s="4">
        <v>45663</v>
      </c>
      <c r="C14" s="3" t="s">
        <v>48</v>
      </c>
      <c r="D14" s="3" t="str">
        <f t="shared" si="1"/>
        <v>Hair Serum</v>
      </c>
      <c r="E14" s="3" t="s">
        <v>49</v>
      </c>
      <c r="F14" s="5">
        <v>3</v>
      </c>
      <c r="G14" s="5">
        <v>2100</v>
      </c>
      <c r="H14" s="5" t="s">
        <v>14</v>
      </c>
      <c r="I14" s="5" t="s">
        <v>22</v>
      </c>
      <c r="J14" s="5" t="s">
        <v>16</v>
      </c>
      <c r="K14" s="6">
        <f t="shared" si="0"/>
        <v>65000</v>
      </c>
      <c r="L14" s="6">
        <f t="shared" si="2"/>
        <v>136500000</v>
      </c>
    </row>
    <row r="15" spans="1:12" ht="14.25" customHeight="1" x14ac:dyDescent="0.25">
      <c r="A15" s="3">
        <v>14</v>
      </c>
      <c r="B15" s="4">
        <v>45663</v>
      </c>
      <c r="C15" s="3" t="s">
        <v>20</v>
      </c>
      <c r="D15" s="3" t="str">
        <f t="shared" si="1"/>
        <v>Serum Vitamin C</v>
      </c>
      <c r="E15" s="3" t="s">
        <v>51</v>
      </c>
      <c r="F15" s="5">
        <v>1</v>
      </c>
      <c r="G15" s="5">
        <v>1600</v>
      </c>
      <c r="H15" s="5" t="s">
        <v>14</v>
      </c>
      <c r="I15" s="5" t="s">
        <v>26</v>
      </c>
      <c r="J15" s="5" t="s">
        <v>23</v>
      </c>
      <c r="K15" s="6">
        <f t="shared" si="0"/>
        <v>75000</v>
      </c>
      <c r="L15" s="6">
        <f t="shared" si="2"/>
        <v>120000000</v>
      </c>
    </row>
    <row r="16" spans="1:12" ht="14.25" customHeight="1" x14ac:dyDescent="0.25">
      <c r="A16" s="3">
        <v>15</v>
      </c>
      <c r="B16" s="4">
        <v>45663</v>
      </c>
      <c r="C16" s="3" t="s">
        <v>24</v>
      </c>
      <c r="D16" s="3" t="str">
        <f t="shared" si="1"/>
        <v>Hand Sanitizer</v>
      </c>
      <c r="E16" s="3" t="s">
        <v>53</v>
      </c>
      <c r="F16" s="5">
        <v>2</v>
      </c>
      <c r="G16" s="5">
        <v>5200</v>
      </c>
      <c r="H16" s="5" t="s">
        <v>14</v>
      </c>
      <c r="I16" s="5" t="s">
        <v>29</v>
      </c>
      <c r="J16" s="5" t="s">
        <v>16</v>
      </c>
      <c r="K16" s="6">
        <f t="shared" si="0"/>
        <v>20000</v>
      </c>
      <c r="L16" s="6">
        <f t="shared" si="2"/>
        <v>104000000</v>
      </c>
    </row>
    <row r="17" spans="1:12" ht="14.25" customHeight="1" x14ac:dyDescent="0.25">
      <c r="A17" s="3">
        <v>16</v>
      </c>
      <c r="B17" s="4">
        <v>45664</v>
      </c>
      <c r="C17" s="3" t="s">
        <v>30</v>
      </c>
      <c r="D17" s="3" t="str">
        <f t="shared" si="1"/>
        <v>Day Cream</v>
      </c>
      <c r="E17" s="3" t="s">
        <v>55</v>
      </c>
      <c r="F17" s="5">
        <v>1</v>
      </c>
      <c r="G17" s="5">
        <v>1800</v>
      </c>
      <c r="H17" s="5" t="s">
        <v>14</v>
      </c>
      <c r="I17" s="5" t="s">
        <v>15</v>
      </c>
      <c r="J17" s="5" t="s">
        <v>16</v>
      </c>
      <c r="K17" s="6">
        <f t="shared" si="0"/>
        <v>80000</v>
      </c>
      <c r="L17" s="6">
        <f t="shared" si="2"/>
        <v>144000000</v>
      </c>
    </row>
    <row r="18" spans="1:12" ht="14.25" customHeight="1" x14ac:dyDescent="0.25">
      <c r="A18" s="3">
        <v>17</v>
      </c>
      <c r="B18" s="4">
        <v>45664</v>
      </c>
      <c r="C18" s="3" t="s">
        <v>57</v>
      </c>
      <c r="D18" s="3" t="str">
        <f t="shared" si="1"/>
        <v>Eye Shadow</v>
      </c>
      <c r="E18" s="3" t="s">
        <v>58</v>
      </c>
      <c r="F18" s="5">
        <v>2</v>
      </c>
      <c r="G18" s="5">
        <v>1400</v>
      </c>
      <c r="H18" s="5" t="s">
        <v>14</v>
      </c>
      <c r="I18" s="5" t="s">
        <v>19</v>
      </c>
      <c r="J18" s="5" t="s">
        <v>16</v>
      </c>
      <c r="K18" s="6">
        <f t="shared" si="0"/>
        <v>60000</v>
      </c>
      <c r="L18" s="6">
        <f t="shared" si="2"/>
        <v>84000000</v>
      </c>
    </row>
    <row r="19" spans="1:12" ht="14.25" customHeight="1" x14ac:dyDescent="0.25">
      <c r="A19" s="3">
        <v>18</v>
      </c>
      <c r="B19" s="4">
        <v>45664</v>
      </c>
      <c r="C19" s="3" t="s">
        <v>60</v>
      </c>
      <c r="D19" s="3" t="str">
        <f t="shared" si="1"/>
        <v>Toner Bright</v>
      </c>
      <c r="E19" s="3" t="s">
        <v>61</v>
      </c>
      <c r="F19" s="5">
        <v>3</v>
      </c>
      <c r="G19" s="5">
        <v>2000</v>
      </c>
      <c r="H19" s="5" t="s">
        <v>14</v>
      </c>
      <c r="I19" s="5" t="s">
        <v>22</v>
      </c>
      <c r="J19" s="5" t="s">
        <v>16</v>
      </c>
      <c r="K19" s="6">
        <f t="shared" si="0"/>
        <v>45000</v>
      </c>
      <c r="L19" s="6">
        <f t="shared" si="2"/>
        <v>90000000</v>
      </c>
    </row>
    <row r="20" spans="1:12" ht="14.25" customHeight="1" x14ac:dyDescent="0.25">
      <c r="A20" s="3">
        <v>19</v>
      </c>
      <c r="B20" s="4">
        <v>45665</v>
      </c>
      <c r="C20" s="3" t="s">
        <v>33</v>
      </c>
      <c r="D20" s="3" t="str">
        <f t="shared" si="1"/>
        <v>Body Lotion</v>
      </c>
      <c r="E20" s="3" t="s">
        <v>63</v>
      </c>
      <c r="F20" s="5">
        <v>1</v>
      </c>
      <c r="G20" s="5">
        <v>3200</v>
      </c>
      <c r="H20" s="5" t="s">
        <v>14</v>
      </c>
      <c r="I20" s="5" t="s">
        <v>26</v>
      </c>
      <c r="J20" s="5" t="s">
        <v>23</v>
      </c>
      <c r="K20" s="6">
        <f t="shared" si="0"/>
        <v>50000</v>
      </c>
      <c r="L20" s="6">
        <f t="shared" si="2"/>
        <v>160000000</v>
      </c>
    </row>
    <row r="21" spans="1:12" ht="14.25" customHeight="1" x14ac:dyDescent="0.25">
      <c r="A21" s="3">
        <v>20</v>
      </c>
      <c r="B21" s="4">
        <v>45665</v>
      </c>
      <c r="C21" s="3" t="s">
        <v>12</v>
      </c>
      <c r="D21" s="3" t="str">
        <f t="shared" si="1"/>
        <v>Lipstick Matte</v>
      </c>
      <c r="E21" s="3" t="s">
        <v>65</v>
      </c>
      <c r="F21" s="5">
        <v>2</v>
      </c>
      <c r="G21" s="5">
        <v>1250</v>
      </c>
      <c r="H21" s="5" t="s">
        <v>14</v>
      </c>
      <c r="I21" s="5" t="s">
        <v>29</v>
      </c>
      <c r="J21" s="5" t="s">
        <v>16</v>
      </c>
      <c r="K21" s="6">
        <f t="shared" si="0"/>
        <v>45000</v>
      </c>
      <c r="L21" s="6">
        <f t="shared" si="2"/>
        <v>56250000</v>
      </c>
    </row>
    <row r="22" spans="1:12" ht="14.25" customHeight="1" x14ac:dyDescent="0.25">
      <c r="A22" s="3">
        <v>21</v>
      </c>
      <c r="B22" s="4">
        <v>45665</v>
      </c>
      <c r="C22" s="3" t="s">
        <v>45</v>
      </c>
      <c r="D22" s="3" t="str">
        <f t="shared" si="1"/>
        <v>Sunscreen SPF30</v>
      </c>
      <c r="E22" s="3" t="s">
        <v>67</v>
      </c>
      <c r="F22" s="5">
        <v>1</v>
      </c>
      <c r="G22" s="5">
        <v>2100</v>
      </c>
      <c r="H22" s="5" t="s">
        <v>14</v>
      </c>
      <c r="I22" s="5" t="s">
        <v>15</v>
      </c>
      <c r="J22" s="5" t="s">
        <v>16</v>
      </c>
      <c r="K22" s="6">
        <f t="shared" si="0"/>
        <v>70000</v>
      </c>
      <c r="L22" s="6">
        <f t="shared" si="2"/>
        <v>147000000</v>
      </c>
    </row>
    <row r="23" spans="1:12" ht="14.25" customHeight="1" x14ac:dyDescent="0.25">
      <c r="A23" s="3">
        <v>22</v>
      </c>
      <c r="B23" s="4">
        <v>45666</v>
      </c>
      <c r="C23" s="3" t="s">
        <v>37</v>
      </c>
      <c r="D23" s="3" t="str">
        <f t="shared" si="1"/>
        <v>Shampoo Herbal</v>
      </c>
      <c r="E23" s="3" t="s">
        <v>69</v>
      </c>
      <c r="F23" s="5">
        <v>2</v>
      </c>
      <c r="G23" s="5">
        <v>2800</v>
      </c>
      <c r="H23" s="5" t="s">
        <v>14</v>
      </c>
      <c r="I23" s="5" t="s">
        <v>19</v>
      </c>
      <c r="J23" s="5" t="s">
        <v>23</v>
      </c>
      <c r="K23" s="6">
        <f t="shared" si="0"/>
        <v>55000</v>
      </c>
      <c r="L23" s="6">
        <f t="shared" si="2"/>
        <v>154000000</v>
      </c>
    </row>
    <row r="24" spans="1:12" ht="14.25" customHeight="1" x14ac:dyDescent="0.25">
      <c r="A24" s="3">
        <v>23</v>
      </c>
      <c r="B24" s="4">
        <v>45666</v>
      </c>
      <c r="C24" s="3" t="s">
        <v>70</v>
      </c>
      <c r="D24" s="3" t="str">
        <f t="shared" si="1"/>
        <v>Compact Powder</v>
      </c>
      <c r="E24" s="3" t="s">
        <v>72</v>
      </c>
      <c r="F24" s="5">
        <v>3</v>
      </c>
      <c r="G24" s="5">
        <v>1500</v>
      </c>
      <c r="H24" s="5" t="s">
        <v>14</v>
      </c>
      <c r="I24" s="5" t="s">
        <v>22</v>
      </c>
      <c r="J24" s="5" t="s">
        <v>16</v>
      </c>
      <c r="K24" s="6">
        <f t="shared" si="0"/>
        <v>55000</v>
      </c>
      <c r="L24" s="6">
        <f t="shared" si="2"/>
        <v>82500000</v>
      </c>
    </row>
    <row r="25" spans="1:12" ht="14.25" customHeight="1" x14ac:dyDescent="0.25">
      <c r="A25" s="3">
        <v>24</v>
      </c>
      <c r="B25" s="4">
        <v>45666</v>
      </c>
      <c r="C25" s="3" t="s">
        <v>27</v>
      </c>
      <c r="D25" s="3" t="str">
        <f t="shared" si="1"/>
        <v>Night Cream</v>
      </c>
      <c r="E25" s="3" t="s">
        <v>73</v>
      </c>
      <c r="F25" s="5">
        <v>1</v>
      </c>
      <c r="G25" s="5">
        <v>1550</v>
      </c>
      <c r="H25" s="5" t="s">
        <v>14</v>
      </c>
      <c r="I25" s="5" t="s">
        <v>26</v>
      </c>
      <c r="J25" s="5" t="s">
        <v>16</v>
      </c>
      <c r="K25" s="6">
        <f t="shared" si="0"/>
        <v>85000</v>
      </c>
      <c r="L25" s="6">
        <f t="shared" si="2"/>
        <v>131750000</v>
      </c>
    </row>
    <row r="26" spans="1:12" ht="14.25" customHeight="1" x14ac:dyDescent="0.25">
      <c r="A26" s="3">
        <v>25</v>
      </c>
      <c r="B26" s="4">
        <v>45667</v>
      </c>
      <c r="C26" s="3" t="s">
        <v>57</v>
      </c>
      <c r="D26" s="3" t="str">
        <f t="shared" si="1"/>
        <v>Eye Shadow</v>
      </c>
      <c r="E26" s="3" t="s">
        <v>74</v>
      </c>
      <c r="F26" s="5">
        <v>2</v>
      </c>
      <c r="G26" s="5">
        <v>1350</v>
      </c>
      <c r="H26" s="5" t="s">
        <v>14</v>
      </c>
      <c r="I26" s="5" t="s">
        <v>29</v>
      </c>
      <c r="J26" s="5" t="s">
        <v>23</v>
      </c>
      <c r="K26" s="6">
        <f t="shared" si="0"/>
        <v>60000</v>
      </c>
      <c r="L26" s="6">
        <f t="shared" si="2"/>
        <v>81000000</v>
      </c>
    </row>
    <row r="27" spans="1:12" ht="14.25" customHeight="1" x14ac:dyDescent="0.25">
      <c r="A27" s="3">
        <v>26</v>
      </c>
      <c r="B27" s="4">
        <v>45667</v>
      </c>
      <c r="C27" s="3" t="s">
        <v>60</v>
      </c>
      <c r="D27" s="3" t="str">
        <f t="shared" si="1"/>
        <v>Toner Bright</v>
      </c>
      <c r="E27" s="3" t="s">
        <v>75</v>
      </c>
      <c r="F27" s="5">
        <v>1</v>
      </c>
      <c r="G27" s="5">
        <v>2100</v>
      </c>
      <c r="H27" s="5" t="s">
        <v>14</v>
      </c>
      <c r="I27" s="5" t="s">
        <v>15</v>
      </c>
      <c r="J27" s="5" t="s">
        <v>16</v>
      </c>
      <c r="K27" s="6">
        <f t="shared" si="0"/>
        <v>45000</v>
      </c>
      <c r="L27" s="6">
        <f t="shared" si="2"/>
        <v>94500000</v>
      </c>
    </row>
    <row r="28" spans="1:12" ht="14.25" customHeight="1" x14ac:dyDescent="0.25">
      <c r="A28" s="3">
        <v>27</v>
      </c>
      <c r="B28" s="4">
        <v>45667</v>
      </c>
      <c r="C28" s="3" t="s">
        <v>48</v>
      </c>
      <c r="D28" s="3" t="str">
        <f t="shared" si="1"/>
        <v>Hair Serum</v>
      </c>
      <c r="E28" s="3" t="s">
        <v>76</v>
      </c>
      <c r="F28" s="5">
        <v>3</v>
      </c>
      <c r="G28" s="5">
        <v>2200</v>
      </c>
      <c r="H28" s="5" t="s">
        <v>14</v>
      </c>
      <c r="I28" s="5" t="s">
        <v>19</v>
      </c>
      <c r="J28" s="5" t="s">
        <v>16</v>
      </c>
      <c r="K28" s="6">
        <f t="shared" si="0"/>
        <v>65000</v>
      </c>
      <c r="L28" s="6">
        <f t="shared" si="2"/>
        <v>143000000</v>
      </c>
    </row>
    <row r="29" spans="1:12" ht="14.25" customHeight="1" x14ac:dyDescent="0.25">
      <c r="A29" s="3">
        <v>28</v>
      </c>
      <c r="B29" s="4">
        <v>45668</v>
      </c>
      <c r="C29" s="3" t="s">
        <v>17</v>
      </c>
      <c r="D29" s="3" t="str">
        <f t="shared" si="1"/>
        <v>Face Wash</v>
      </c>
      <c r="E29" s="3" t="s">
        <v>77</v>
      </c>
      <c r="F29" s="5">
        <v>2</v>
      </c>
      <c r="G29" s="5">
        <v>2450</v>
      </c>
      <c r="H29" s="5" t="s">
        <v>14</v>
      </c>
      <c r="I29" s="5" t="s">
        <v>22</v>
      </c>
      <c r="J29" s="5" t="s">
        <v>23</v>
      </c>
      <c r="K29" s="6">
        <f t="shared" si="0"/>
        <v>30000</v>
      </c>
      <c r="L29" s="6">
        <f t="shared" si="2"/>
        <v>73500000</v>
      </c>
    </row>
    <row r="30" spans="1:12" ht="14.25" customHeight="1" x14ac:dyDescent="0.25">
      <c r="A30" s="3">
        <v>29</v>
      </c>
      <c r="B30" s="4">
        <v>45668</v>
      </c>
      <c r="C30" s="3" t="s">
        <v>24</v>
      </c>
      <c r="D30" s="3" t="str">
        <f t="shared" si="1"/>
        <v>Hand Sanitizer</v>
      </c>
      <c r="E30" s="3" t="s">
        <v>78</v>
      </c>
      <c r="F30" s="5">
        <v>1</v>
      </c>
      <c r="G30" s="5">
        <v>5100</v>
      </c>
      <c r="H30" s="5" t="s">
        <v>14</v>
      </c>
      <c r="I30" s="5" t="s">
        <v>26</v>
      </c>
      <c r="J30" s="5" t="s">
        <v>16</v>
      </c>
      <c r="K30" s="6">
        <f t="shared" si="0"/>
        <v>20000</v>
      </c>
      <c r="L30" s="6">
        <f t="shared" si="2"/>
        <v>102000000</v>
      </c>
    </row>
    <row r="31" spans="1:12" ht="14.25" customHeight="1" x14ac:dyDescent="0.25">
      <c r="A31" s="3">
        <v>30</v>
      </c>
      <c r="B31" s="4">
        <v>45668</v>
      </c>
      <c r="C31" s="3" t="s">
        <v>42</v>
      </c>
      <c r="D31" s="3" t="str">
        <f t="shared" si="1"/>
        <v>Conditioner</v>
      </c>
      <c r="E31" s="3" t="s">
        <v>79</v>
      </c>
      <c r="F31" s="5">
        <v>2</v>
      </c>
      <c r="G31" s="5">
        <v>2150</v>
      </c>
      <c r="H31" s="5" t="s">
        <v>14</v>
      </c>
      <c r="I31" s="5" t="s">
        <v>29</v>
      </c>
      <c r="J31" s="5" t="s">
        <v>16</v>
      </c>
      <c r="K31" s="6">
        <f t="shared" si="0"/>
        <v>40000</v>
      </c>
      <c r="L31" s="6">
        <f t="shared" si="2"/>
        <v>86000000</v>
      </c>
    </row>
    <row r="32" spans="1:12" ht="14.25" customHeight="1" x14ac:dyDescent="0.25">
      <c r="A32" s="3">
        <v>31</v>
      </c>
      <c r="B32" s="4">
        <v>45669</v>
      </c>
      <c r="C32" s="3" t="s">
        <v>30</v>
      </c>
      <c r="D32" s="3" t="str">
        <f t="shared" si="1"/>
        <v>Day Cream</v>
      </c>
      <c r="E32" s="3" t="s">
        <v>80</v>
      </c>
      <c r="F32" s="5">
        <v>1</v>
      </c>
      <c r="G32" s="5">
        <v>1750</v>
      </c>
      <c r="H32" s="5" t="s">
        <v>14</v>
      </c>
      <c r="I32" s="5" t="s">
        <v>15</v>
      </c>
      <c r="J32" s="5" t="s">
        <v>16</v>
      </c>
      <c r="K32" s="6">
        <f t="shared" si="0"/>
        <v>80000</v>
      </c>
      <c r="L32" s="6">
        <f t="shared" si="2"/>
        <v>140000000</v>
      </c>
    </row>
    <row r="33" spans="1:16" ht="14.25" customHeight="1" x14ac:dyDescent="0.25">
      <c r="A33" s="3">
        <v>32</v>
      </c>
      <c r="B33" s="4">
        <v>45669</v>
      </c>
      <c r="C33" s="3" t="s">
        <v>70</v>
      </c>
      <c r="D33" s="3" t="str">
        <f t="shared" si="1"/>
        <v>Compact Powder</v>
      </c>
      <c r="E33" s="3" t="s">
        <v>81</v>
      </c>
      <c r="F33" s="5">
        <v>3</v>
      </c>
      <c r="G33" s="5">
        <v>1600</v>
      </c>
      <c r="H33" s="5" t="s">
        <v>14</v>
      </c>
      <c r="I33" s="5" t="s">
        <v>19</v>
      </c>
      <c r="J33" s="5" t="s">
        <v>23</v>
      </c>
      <c r="K33" s="6">
        <f t="shared" si="0"/>
        <v>55000</v>
      </c>
      <c r="L33" s="6">
        <f t="shared" si="2"/>
        <v>88000000</v>
      </c>
    </row>
    <row r="34" spans="1:16" ht="14.25" customHeight="1" x14ac:dyDescent="0.25">
      <c r="A34" s="3">
        <v>33</v>
      </c>
      <c r="B34" s="4">
        <v>45669</v>
      </c>
      <c r="C34" s="3" t="s">
        <v>33</v>
      </c>
      <c r="D34" s="3" t="str">
        <f t="shared" si="1"/>
        <v>Body Lotion</v>
      </c>
      <c r="E34" s="3" t="s">
        <v>82</v>
      </c>
      <c r="F34" s="5">
        <v>2</v>
      </c>
      <c r="G34" s="5">
        <v>3100</v>
      </c>
      <c r="H34" s="5" t="s">
        <v>14</v>
      </c>
      <c r="I34" s="5" t="s">
        <v>22</v>
      </c>
      <c r="J34" s="5" t="s">
        <v>16</v>
      </c>
      <c r="K34" s="6">
        <f t="shared" si="0"/>
        <v>50000</v>
      </c>
      <c r="L34" s="6">
        <f t="shared" si="2"/>
        <v>155000000</v>
      </c>
    </row>
    <row r="35" spans="1:16" ht="14.25" customHeight="1" x14ac:dyDescent="0.25">
      <c r="A35" s="3">
        <v>34</v>
      </c>
      <c r="B35" s="4">
        <v>45670</v>
      </c>
      <c r="C35" s="3" t="s">
        <v>12</v>
      </c>
      <c r="D35" s="3" t="str">
        <f t="shared" si="1"/>
        <v>Lipstick Matte</v>
      </c>
      <c r="E35" s="3" t="s">
        <v>83</v>
      </c>
      <c r="F35" s="5">
        <v>1</v>
      </c>
      <c r="G35" s="5">
        <v>1300</v>
      </c>
      <c r="H35" s="5" t="s">
        <v>14</v>
      </c>
      <c r="I35" s="5" t="s">
        <v>26</v>
      </c>
      <c r="J35" s="5" t="s">
        <v>16</v>
      </c>
      <c r="K35" s="6">
        <f t="shared" si="0"/>
        <v>45000</v>
      </c>
      <c r="L35" s="6">
        <f t="shared" si="2"/>
        <v>58500000</v>
      </c>
    </row>
    <row r="36" spans="1:16" ht="14.25" customHeight="1" x14ac:dyDescent="0.25">
      <c r="A36" s="3">
        <v>35</v>
      </c>
      <c r="B36" s="4">
        <v>45670</v>
      </c>
      <c r="C36" s="3" t="s">
        <v>20</v>
      </c>
      <c r="D36" s="3" t="str">
        <f t="shared" si="1"/>
        <v>Serum Vitamin C</v>
      </c>
      <c r="E36" s="3" t="s">
        <v>84</v>
      </c>
      <c r="F36" s="5">
        <v>2</v>
      </c>
      <c r="G36" s="5">
        <v>1750</v>
      </c>
      <c r="H36" s="5" t="s">
        <v>14</v>
      </c>
      <c r="I36" s="5" t="s">
        <v>29</v>
      </c>
      <c r="J36" s="5" t="s">
        <v>16</v>
      </c>
      <c r="K36" s="6">
        <f t="shared" si="0"/>
        <v>75000</v>
      </c>
      <c r="L36" s="6">
        <f t="shared" si="2"/>
        <v>131250000</v>
      </c>
    </row>
    <row r="37" spans="1:16" ht="14.25" customHeight="1" x14ac:dyDescent="0.25">
      <c r="A37" s="8"/>
      <c r="B37" s="9"/>
      <c r="C37" s="8"/>
      <c r="D37" s="8"/>
      <c r="E37" s="8"/>
      <c r="F37" s="10"/>
      <c r="G37" s="10"/>
      <c r="H37" s="10"/>
      <c r="I37" s="10"/>
      <c r="J37" s="10"/>
    </row>
    <row r="38" spans="1:16" ht="14.25" customHeight="1" x14ac:dyDescent="0.25">
      <c r="A38" s="8"/>
      <c r="B38" s="9"/>
      <c r="C38" s="8"/>
      <c r="D38" s="8"/>
      <c r="E38" s="8"/>
      <c r="F38" s="10"/>
      <c r="G38" s="10"/>
      <c r="H38" s="10"/>
      <c r="I38" s="10"/>
      <c r="J38" s="10"/>
    </row>
    <row r="39" spans="1:16" ht="14.25" customHeight="1" x14ac:dyDescent="0.25"/>
    <row r="40" spans="1:16" ht="14.25" customHeight="1" x14ac:dyDescent="0.25">
      <c r="B40" s="18" t="s">
        <v>87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" ht="14.25" customHeight="1" x14ac:dyDescent="0.25">
      <c r="B41" s="14" t="s">
        <v>2</v>
      </c>
      <c r="C41" s="15" t="s">
        <v>12</v>
      </c>
      <c r="D41" s="15" t="s">
        <v>17</v>
      </c>
      <c r="E41" s="15" t="s">
        <v>20</v>
      </c>
      <c r="F41" s="15" t="s">
        <v>24</v>
      </c>
      <c r="G41" s="15" t="s">
        <v>27</v>
      </c>
      <c r="H41" s="15" t="s">
        <v>30</v>
      </c>
      <c r="I41" s="15" t="s">
        <v>33</v>
      </c>
      <c r="J41" s="15" t="s">
        <v>37</v>
      </c>
      <c r="K41" s="15" t="s">
        <v>42</v>
      </c>
      <c r="L41" s="15" t="s">
        <v>45</v>
      </c>
      <c r="M41" s="15" t="s">
        <v>48</v>
      </c>
      <c r="N41" s="15" t="s">
        <v>57</v>
      </c>
      <c r="O41" s="15" t="s">
        <v>60</v>
      </c>
      <c r="P41" s="15" t="s">
        <v>70</v>
      </c>
    </row>
    <row r="42" spans="1:16" ht="14.25" customHeight="1" x14ac:dyDescent="0.25">
      <c r="B42" s="16" t="s">
        <v>88</v>
      </c>
      <c r="C42" s="3" t="s">
        <v>39</v>
      </c>
      <c r="D42" s="3" t="s">
        <v>41</v>
      </c>
      <c r="E42" s="3" t="s">
        <v>44</v>
      </c>
      <c r="F42" s="3" t="s">
        <v>47</v>
      </c>
      <c r="G42" s="3" t="s">
        <v>50</v>
      </c>
      <c r="H42" s="3" t="s">
        <v>52</v>
      </c>
      <c r="I42" s="3" t="s">
        <v>54</v>
      </c>
      <c r="J42" s="3" t="s">
        <v>56</v>
      </c>
      <c r="K42" s="3" t="s">
        <v>59</v>
      </c>
      <c r="L42" s="3" t="s">
        <v>62</v>
      </c>
      <c r="M42" s="3" t="s">
        <v>64</v>
      </c>
      <c r="N42" s="3" t="s">
        <v>66</v>
      </c>
      <c r="O42" s="3" t="s">
        <v>68</v>
      </c>
      <c r="P42" s="3" t="s">
        <v>71</v>
      </c>
    </row>
    <row r="43" spans="1:16" ht="14.25" customHeight="1" x14ac:dyDescent="0.25">
      <c r="B43" s="16" t="s">
        <v>89</v>
      </c>
      <c r="C43" s="3">
        <v>45000</v>
      </c>
      <c r="D43" s="3">
        <v>30000</v>
      </c>
      <c r="E43" s="3">
        <v>75000</v>
      </c>
      <c r="F43" s="3">
        <v>20000</v>
      </c>
      <c r="G43" s="3">
        <v>85000</v>
      </c>
      <c r="H43" s="3">
        <v>80000</v>
      </c>
      <c r="I43" s="3">
        <v>50000</v>
      </c>
      <c r="J43" s="3">
        <v>55000</v>
      </c>
      <c r="K43" s="3">
        <v>40000</v>
      </c>
      <c r="L43" s="3">
        <v>70000</v>
      </c>
      <c r="M43" s="3">
        <v>65000</v>
      </c>
      <c r="N43" s="3">
        <v>60000</v>
      </c>
      <c r="O43" s="3">
        <v>45000</v>
      </c>
      <c r="P43" s="3">
        <v>55000</v>
      </c>
    </row>
    <row r="44" spans="1:16" ht="14.25" customHeight="1" x14ac:dyDescent="0.25"/>
    <row r="45" spans="1:16" ht="14.25" customHeight="1" x14ac:dyDescent="0.25"/>
    <row r="46" spans="1:16" ht="14.25" customHeight="1" x14ac:dyDescent="0.25">
      <c r="B46" s="12"/>
      <c r="G46" s="13"/>
      <c r="H46" s="13"/>
      <c r="I46" s="13"/>
    </row>
    <row r="47" spans="1:16" ht="14.25" customHeight="1" x14ac:dyDescent="0.25">
      <c r="G47" s="13"/>
      <c r="H47" s="13"/>
      <c r="I47" s="13"/>
    </row>
    <row r="48" spans="1:16" ht="14.25" customHeight="1" x14ac:dyDescent="0.25">
      <c r="G48" s="13"/>
      <c r="H48" s="13"/>
      <c r="I48" s="13"/>
    </row>
    <row r="49" spans="2:2" ht="14.25" customHeight="1" x14ac:dyDescent="0.25">
      <c r="B49" s="12"/>
    </row>
    <row r="50" spans="2:2" ht="14.25" customHeight="1" x14ac:dyDescent="0.25"/>
    <row r="51" spans="2:2" ht="14.25" customHeight="1" x14ac:dyDescent="0.25"/>
    <row r="52" spans="2:2" ht="14.25" customHeight="1" x14ac:dyDescent="0.25">
      <c r="B52" s="12"/>
    </row>
    <row r="53" spans="2:2" ht="14.25" customHeight="1" x14ac:dyDescent="0.25"/>
    <row r="54" spans="2:2" ht="14.25" customHeight="1" x14ac:dyDescent="0.25"/>
    <row r="55" spans="2:2" ht="14.25" customHeight="1" x14ac:dyDescent="0.25"/>
    <row r="56" spans="2:2" ht="14.25" customHeight="1" x14ac:dyDescent="0.25"/>
    <row r="57" spans="2:2" ht="14.25" customHeight="1" x14ac:dyDescent="0.25"/>
    <row r="58" spans="2:2" ht="14.25" customHeight="1" x14ac:dyDescent="0.25"/>
    <row r="59" spans="2:2" ht="14.25" customHeight="1" x14ac:dyDescent="0.25"/>
    <row r="60" spans="2:2" ht="14.25" customHeight="1" x14ac:dyDescent="0.25"/>
    <row r="61" spans="2:2" ht="14.25" customHeight="1" x14ac:dyDescent="0.25"/>
    <row r="62" spans="2:2" ht="14.25" customHeight="1" x14ac:dyDescent="0.25"/>
    <row r="63" spans="2:2" ht="14.25" customHeight="1" x14ac:dyDescent="0.25"/>
    <row r="64" spans="2:2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B40:P4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9CEB-E8C4-419C-8A4D-1E028A7905A7}">
  <dimension ref="A1:H13"/>
  <sheetViews>
    <sheetView tabSelected="1" workbookViewId="0">
      <selection activeCell="G18" sqref="G18"/>
    </sheetView>
  </sheetViews>
  <sheetFormatPr defaultRowHeight="15" x14ac:dyDescent="0.25"/>
  <cols>
    <col min="1" max="1" width="12.28515625" customWidth="1"/>
    <col min="3" max="4" width="12.28515625" bestFit="1" customWidth="1"/>
    <col min="7" max="8" width="12.28515625" bestFit="1" customWidth="1"/>
  </cols>
  <sheetData>
    <row r="1" spans="1:8" ht="45" x14ac:dyDescent="0.25">
      <c r="A1" s="19" t="s">
        <v>90</v>
      </c>
      <c r="B1" s="19" t="s">
        <v>91</v>
      </c>
      <c r="C1" s="20" t="s">
        <v>92</v>
      </c>
      <c r="D1" s="20" t="s">
        <v>93</v>
      </c>
      <c r="E1" s="21"/>
      <c r="G1" s="22"/>
      <c r="H1" s="22"/>
    </row>
    <row r="2" spans="1:8" x14ac:dyDescent="0.25">
      <c r="A2" s="23" t="s">
        <v>94</v>
      </c>
      <c r="B2" s="24" t="s">
        <v>95</v>
      </c>
      <c r="C2" s="25">
        <f>VLOOKUP(B2,$F$2:$H$7,2,FALSE)</f>
        <v>5000000</v>
      </c>
      <c r="D2" s="25">
        <f>VLOOKUP(B2,$F$2:$H$7,3,FALSE)</f>
        <v>500000</v>
      </c>
      <c r="E2" s="26"/>
      <c r="F2" s="27" t="s">
        <v>91</v>
      </c>
      <c r="G2" s="28" t="s">
        <v>92</v>
      </c>
      <c r="H2" s="28" t="s">
        <v>93</v>
      </c>
    </row>
    <row r="3" spans="1:8" x14ac:dyDescent="0.25">
      <c r="A3" s="23" t="s">
        <v>96</v>
      </c>
      <c r="B3" s="24" t="s">
        <v>97</v>
      </c>
      <c r="C3" s="25">
        <f t="shared" ref="C3:C11" si="0">VLOOKUP(B3,$F$2:$H$7,2,FALSE)</f>
        <v>6500000</v>
      </c>
      <c r="D3" s="25">
        <f t="shared" ref="D3:D11" si="1">VLOOKUP(B3,$F$2:$H$7,3,FALSE)</f>
        <v>700000</v>
      </c>
      <c r="E3" s="26"/>
      <c r="F3" s="27"/>
      <c r="G3" s="28"/>
      <c r="H3" s="28"/>
    </row>
    <row r="4" spans="1:8" x14ac:dyDescent="0.25">
      <c r="A4" s="23" t="s">
        <v>98</v>
      </c>
      <c r="B4" s="24" t="s">
        <v>99</v>
      </c>
      <c r="C4" s="25">
        <f t="shared" si="0"/>
        <v>7500000</v>
      </c>
      <c r="D4" s="25">
        <f t="shared" si="1"/>
        <v>1000000</v>
      </c>
      <c r="E4" s="26"/>
      <c r="F4" s="24" t="s">
        <v>95</v>
      </c>
      <c r="G4" s="29">
        <v>5000000</v>
      </c>
      <c r="H4" s="29">
        <v>500000</v>
      </c>
    </row>
    <row r="5" spans="1:8" x14ac:dyDescent="0.25">
      <c r="A5" s="23" t="s">
        <v>100</v>
      </c>
      <c r="B5" s="24" t="s">
        <v>101</v>
      </c>
      <c r="C5" s="25">
        <f t="shared" si="0"/>
        <v>7000000</v>
      </c>
      <c r="D5" s="25">
        <f t="shared" si="1"/>
        <v>900000</v>
      </c>
      <c r="E5" s="26"/>
      <c r="F5" s="24" t="s">
        <v>97</v>
      </c>
      <c r="G5" s="29">
        <v>6500000</v>
      </c>
      <c r="H5" s="29">
        <v>700000</v>
      </c>
    </row>
    <row r="6" spans="1:8" x14ac:dyDescent="0.25">
      <c r="A6" s="23" t="s">
        <v>102</v>
      </c>
      <c r="B6" s="24" t="s">
        <v>99</v>
      </c>
      <c r="C6" s="25">
        <f t="shared" si="0"/>
        <v>7500000</v>
      </c>
      <c r="D6" s="25">
        <f t="shared" si="1"/>
        <v>1000000</v>
      </c>
      <c r="E6" s="26"/>
      <c r="F6" s="24" t="s">
        <v>101</v>
      </c>
      <c r="G6" s="29">
        <v>7000000</v>
      </c>
      <c r="H6" s="29">
        <v>900000</v>
      </c>
    </row>
    <row r="7" spans="1:8" x14ac:dyDescent="0.25">
      <c r="A7" s="23" t="s">
        <v>103</v>
      </c>
      <c r="B7" s="24" t="s">
        <v>101</v>
      </c>
      <c r="C7" s="25">
        <f t="shared" si="0"/>
        <v>7000000</v>
      </c>
      <c r="D7" s="25">
        <f t="shared" si="1"/>
        <v>900000</v>
      </c>
      <c r="E7" s="26"/>
      <c r="F7" s="24" t="s">
        <v>99</v>
      </c>
      <c r="G7" s="29">
        <v>7500000</v>
      </c>
      <c r="H7" s="29">
        <v>1000000</v>
      </c>
    </row>
    <row r="8" spans="1:8" x14ac:dyDescent="0.25">
      <c r="A8" s="23" t="s">
        <v>104</v>
      </c>
      <c r="B8" s="24" t="s">
        <v>97</v>
      </c>
      <c r="C8" s="25">
        <f t="shared" si="0"/>
        <v>6500000</v>
      </c>
      <c r="D8" s="25">
        <f t="shared" si="1"/>
        <v>700000</v>
      </c>
      <c r="E8" s="26"/>
      <c r="G8" s="22"/>
      <c r="H8" s="22"/>
    </row>
    <row r="9" spans="1:8" x14ac:dyDescent="0.25">
      <c r="A9" s="23" t="s">
        <v>105</v>
      </c>
      <c r="B9" s="24" t="s">
        <v>97</v>
      </c>
      <c r="C9" s="25">
        <f t="shared" si="0"/>
        <v>6500000</v>
      </c>
      <c r="D9" s="25">
        <f t="shared" si="1"/>
        <v>700000</v>
      </c>
      <c r="E9" s="26"/>
      <c r="G9" s="22"/>
      <c r="H9" s="22"/>
    </row>
    <row r="10" spans="1:8" x14ac:dyDescent="0.25">
      <c r="A10" s="23" t="s">
        <v>106</v>
      </c>
      <c r="B10" s="24" t="s">
        <v>101</v>
      </c>
      <c r="C10" s="25">
        <f t="shared" si="0"/>
        <v>7000000</v>
      </c>
      <c r="D10" s="25">
        <f t="shared" si="1"/>
        <v>900000</v>
      </c>
      <c r="E10" s="26"/>
      <c r="G10" s="22"/>
      <c r="H10" s="22"/>
    </row>
    <row r="11" spans="1:8" x14ac:dyDescent="0.25">
      <c r="A11" s="23" t="s">
        <v>107</v>
      </c>
      <c r="B11" s="24" t="s">
        <v>95</v>
      </c>
      <c r="C11" s="25">
        <f t="shared" si="0"/>
        <v>5000000</v>
      </c>
      <c r="D11" s="25">
        <f t="shared" si="1"/>
        <v>500000</v>
      </c>
      <c r="E11" s="26"/>
      <c r="G11" s="22"/>
      <c r="H11" s="22"/>
    </row>
    <row r="12" spans="1:8" x14ac:dyDescent="0.25">
      <c r="A12" s="30"/>
      <c r="B12" s="30"/>
      <c r="C12" s="31"/>
      <c r="D12" s="31"/>
      <c r="E12" s="32"/>
      <c r="G12" s="22"/>
      <c r="H12" s="22"/>
    </row>
    <row r="13" spans="1:8" x14ac:dyDescent="0.25">
      <c r="A13" s="33" t="s">
        <v>108</v>
      </c>
      <c r="B13" s="33"/>
      <c r="C13" s="33"/>
      <c r="D13" s="33"/>
      <c r="E13" s="33"/>
      <c r="F13" s="33"/>
      <c r="G13" s="22"/>
      <c r="H13" s="22"/>
    </row>
  </sheetData>
  <mergeCells count="4">
    <mergeCell ref="F2:F3"/>
    <mergeCell ref="G2:G3"/>
    <mergeCell ref="H2:H3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Vlookup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Heryanti Sattu</dc:creator>
  <cp:lastModifiedBy>Suci Intan Aisyah</cp:lastModifiedBy>
  <dcterms:created xsi:type="dcterms:W3CDTF">2025-09-10T05:13:59Z</dcterms:created>
  <dcterms:modified xsi:type="dcterms:W3CDTF">2026-08-19T04:24:21Z</dcterms:modified>
</cp:coreProperties>
</file>